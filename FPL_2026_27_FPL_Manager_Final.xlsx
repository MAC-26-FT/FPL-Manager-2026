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LAYER POOL" sheetId="3" state="visible" r:id="rId3"/>
    <sheet xmlns:r="http://schemas.openxmlformats.org/officeDocument/2006/relationships" name="GW PLANNER" sheetId="4" state="visible" r:id="rId4"/>
    <sheet xmlns:r="http://schemas.openxmlformats.org/officeDocument/2006/relationships" name="TRANSFERS" sheetId="5" state="visible" r:id="rId5"/>
    <sheet xmlns:r="http://schemas.openxmlformats.org/officeDocument/2006/relationships" name="TEAM" sheetId="6" state="visible" r:id="rId6"/>
    <sheet xmlns:r="http://schemas.openxmlformats.org/officeDocument/2006/relationships" name="CHIP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STATISTICS &amp; FORMULAS" sheetId="9" state="visible" r:id="rId9"/>
    <sheet xmlns:r="http://schemas.openxmlformats.org/officeDocument/2006/relationships" name="WEEKLY CHECKLIST" sheetId="10" state="visible" r:id="rId10"/>
    <sheet xmlns:r="http://schemas.openxmlformats.org/officeDocument/2006/relationships" name="SOURCES &amp; NOTES" sheetId="11" state="visible" r:id="rId11"/>
    <sheet xmlns:r="http://schemas.openxmlformats.org/officeDocument/2006/relationships" name="WEEKLY INPUT" sheetId="12" state="visible" r:id="rId12"/>
    <sheet xmlns:r="http://schemas.openxmlformats.org/officeDocument/2006/relationships" name="PLAYER MODEL" sheetId="13" state="visible" r:id="rId13"/>
    <sheet xmlns:r="http://schemas.openxmlformats.org/officeDocument/2006/relationships" name="8GW PROJECTIONS" sheetId="14" state="visible" r:id="rId14"/>
    <sheet xmlns:r="http://schemas.openxmlformats.org/officeDocument/2006/relationships" name="TRANSFER EV" sheetId="15" state="visible" r:id="rId15"/>
    <sheet xmlns:r="http://schemas.openxmlformats.org/officeDocument/2006/relationships" name="CAPTAINCY" sheetId="16" state="visible" r:id="rId16"/>
    <sheet xmlns:r="http://schemas.openxmlformats.org/officeDocument/2006/relationships" name="CHIP PLANNER" sheetId="17" state="visible" r:id="rId17"/>
    <sheet xmlns:r="http://schemas.openxmlformats.org/officeDocument/2006/relationships" name="WEEKLY REVIEW" sheetId="18" state="visible" r:id="rId18"/>
    <sheet xmlns:r="http://schemas.openxmlformats.org/officeDocument/2006/relationships" name="MODEL ARCHITECTURE" sheetId="19" state="visible" r:id="rId19"/>
  </sheets>
  <definedNames>
    <definedName name="_xlnm._FilterDatabase" localSheetId="2" hidden="1">'PLAYER POOL'!$A$1:$AD$201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</font>
    <font>
      <b val="1"/>
      <color rgb="00FFFFFF"/>
      <sz val="18"/>
    </font>
    <font>
      <i val="1"/>
      <color rgb="0040404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" fontId="0" fillId="0" borderId="1" pivotButton="0" quotePrefix="0" xfId="0"/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2" borderId="0" pivotButton="0" quotePrefix="0" xfId="0"/>
    <xf numFmtId="2" fontId="0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top" wrapText="1"/>
    </xf>
    <xf numFmtId="2" fontId="2" fillId="2" borderId="1" applyAlignment="1" pivotButton="0" quotePrefix="0" xfId="0">
      <alignment vertical="top" wrapText="1"/>
    </xf>
    <xf numFmtId="9" fontId="2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2" borderId="0" pivotButton="0" quotePrefix="0" xfId="0"/>
    <xf numFmtId="0" fontId="0" fillId="3" borderId="1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OpenAI</author>
  </authors>
  <commentList>
    <comment ref="X1" authorId="0" shapeId="0">
      <text>
        <t>Underlying xP heuristic. It combines expected minutes, xG/90, xA/90, defensive contribution rate and recent FPL points/90. This is a decision model, not an official FPL formula.</t>
      </text>
    </comment>
    <comment ref="Y1" authorId="0" shapeId="0">
      <text>
        <t>Fixture-adjusted xP = underlying xP × fixture multiplier × expected-minutes factor.</t>
      </text>
    </comment>
    <comment ref="AB1" authorId="0" shapeId="0">
      <text>
        <t>Decision Score rewards projected output, recent form and value while penalising minutes risk.</t>
      </text>
    </comment>
    <comment ref="AC1" authorId="0" shapeId="0">
      <text>
        <t>Captain Score emphasises attacking involvement, minutes certainty and favourable fixtures.</t>
      </text>
    </comment>
  </commentList>
</comments>
</file>

<file path=xl/tables/table1.xml><?xml version="1.0" encoding="utf-8"?>
<table xmlns="http://schemas.openxmlformats.org/spreadsheetml/2006/main" id="1" name="PlayerPool" displayName="PlayerPool" ref="A1:AD201" headerRowCount="1">
  <autoFilter ref="A1:AD201"/>
  <tableColumns count="30">
    <tableColumn id="1" name="Player"/>
    <tableColumn id="2" name="Club"/>
    <tableColumn id="3" name="Pos"/>
    <tableColumn id="4" name="Price £m"/>
    <tableColumn id="5" name="Ownership %"/>
    <tableColumn id="6" name="Minutes last 6"/>
    <tableColumn id="7" name="Starts last 6"/>
    <tableColumn id="8" name="xG last 6"/>
    <tableColumn id="9" name="xA last 6"/>
    <tableColumn id="10" name="Goals last 6"/>
    <tableColumn id="11" name="Assists last 6"/>
    <tableColumn id="12" name="Shots last 6"/>
    <tableColumn id="13" name="Big chances last 6"/>
    <tableColumn id="14" name="Key passes last 6"/>
    <tableColumn id="15" name="Defensive contrib last 6"/>
    <tableColumn id="16" name="Projected minutes next GW"/>
    <tableColumn id="17" name="Start probability %"/>
    <tableColumn id="18" name="Next fixture difficulty (1 easy–5 hard)"/>
    <tableColumn id="19" name="Fixture multiplier"/>
    <tableColumn id="20" name="xG/90"/>
    <tableColumn id="21" name="xA/90"/>
    <tableColumn id="22" name="xGI/90"/>
    <tableColumn id="23" name="Recent FPL pts/90"/>
    <tableColumn id="24" name="Underlying xP next GW"/>
    <tableColumn id="25" name="Fixture-adjusted xP"/>
    <tableColumn id="26" name="xP/£m"/>
    <tableColumn id="27" name="Minutes risk"/>
    <tableColumn id="28" name="Decision Score"/>
    <tableColumn id="29" name="Captain Score"/>
    <tableColumn id="3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WPlanner" displayName="GWPlanner" ref="A1:P301" headerRowCount="1">
  <autoFilter ref="A1:P301"/>
  <tableColumns count="16">
    <tableColumn id="1" name="GW"/>
    <tableColumn id="2" name="Player"/>
    <tableColumn id="3" name="Club"/>
    <tableColumn id="4" name="Pos"/>
    <tableColumn id="5" name="Price £m"/>
    <tableColumn id="6" name="Starter?"/>
    <tableColumn id="7" name="Captain?"/>
    <tableColumn id="8" name="Fixture difficulty"/>
    <tableColumn id="9" name="Projected minutes"/>
    <tableColumn id="10" name="xP"/>
    <tableColumn id="11" name="Fixture-adjusted xP"/>
    <tableColumn id="12" name="Expected points contribution"/>
    <tableColumn id="13" name="Bench order"/>
    <tableColumn id="14" name="Actual points"/>
    <tableColumn id="15" name="Variance"/>
    <tableColumn id="16" name="Review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nsfers" displayName="Transfers" ref="A1:K101" headerRowCount="1">
  <autoFilter ref="A1:K101"/>
  <tableColumns count="11">
    <tableColumn id="1" name="GW"/>
    <tableColumn id="2" name="OUT player"/>
    <tableColumn id="3" name="OUT xP"/>
    <tableColumn id="4" name="IN player"/>
    <tableColumn id="5" name="IN xP"/>
    <tableColumn id="6" name="Projected gain"/>
    <tableColumn id="7" name="Transfer cost"/>
    <tableColumn id="8" name="Net gain"/>
    <tableColumn id="9" name="Price delta £m"/>
    <tableColumn id="10" name="Fixture run note"/>
    <tableColumn id="11" name="Dec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amTable" displayName="TeamTable" ref="A1:K16" headerRowCount="1">
  <autoFilter ref="A1:K16"/>
  <tableColumns count="11">
    <tableColumn id="1" name="Slot"/>
    <tableColumn id="2" name="Player"/>
    <tableColumn id="3" name="Club"/>
    <tableColumn id="4" name="Pos"/>
    <tableColumn id="5" name="Purchase price £m"/>
    <tableColumn id="6" name="Current price £m"/>
    <tableColumn id="7" name="Selling price £m"/>
    <tableColumn id="8" name="GW xP"/>
    <tableColumn id="9" name="Starter?"/>
    <tableColumn id="10" name="Captain?"/>
    <tableColumn id="11" name="Bench ord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atsTable" displayName="StatsTable" ref="A1:E20" headerRowCount="1">
  <autoFilter ref="A1:E20"/>
  <tableColumns count="5">
    <tableColumn id="1" name="Statistic / Formula"/>
    <tableColumn id="2" name="What it means"/>
    <tableColumn id="3" name="Why it matters"/>
    <tableColumn id="4" name="How to update"/>
    <tableColumn id="5" name="Interpretation / cau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eeklyChecklist" displayName="WeeklyChecklist" ref="A1:E9" headerRowCount="1">
  <autoFilter ref="A1:E9"/>
  <tableColumns count="5">
    <tableColumn id="1" name="Timing"/>
    <tableColumn id="2" name="Task"/>
    <tableColumn id="3" name="What to look at"/>
    <tableColumn id="4" name="Action threshold"/>
    <tableColumn id="5" name="Done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layerModel" displayName="PlayerModel" ref="A5:AK205" headerRowCount="1">
  <autoFilter ref="A5:AK205"/>
  <tableColumns count="37">
    <tableColumn id="1" name="Player"/>
    <tableColumn id="2" name="Club"/>
    <tableColumn id="3" name="Pos"/>
    <tableColumn id="4" name="Price"/>
    <tableColumn id="5" name="Own %"/>
    <tableColumn id="6" name="Min L6"/>
    <tableColumn id="7" name="Start %"/>
    <tableColumn id="8" name="xG/90"/>
    <tableColumn id="9" name="xA/90"/>
    <tableColumn id="10" name="xGI/90"/>
    <tableColumn id="11" name="Goals/90"/>
    <tableColumn id="12" name="Assists/90"/>
    <tableColumn id="13" name="Shots/90"/>
    <tableColumn id="14" name="BC/90"/>
    <tableColumn id="15" name="KP/90"/>
    <tableColumn id="16" name="DefCon/90"/>
    <tableColumn id="17" name="Recent FPL Pts/90"/>
    <tableColumn id="18" name="Minutes Factor"/>
    <tableColumn id="19" name="Role/News Factor"/>
    <tableColumn id="20" name="Base xP GW1"/>
    <tableColumn id="21" name="Adj xP GW1"/>
    <tableColumn id="22" name="Adj xP GW2"/>
    <tableColumn id="23" name="Adj xP GW3"/>
    <tableColumn id="24" name="Adj xP GW4"/>
    <tableColumn id="25" name="Adj xP GW5"/>
    <tableColumn id="26" name="Adj xP GW6"/>
    <tableColumn id="27" name="Adj xP GW7"/>
    <tableColumn id="28" name="Adj xP GW8"/>
    <tableColumn id="29" name="8GW xP"/>
    <tableColumn id="30" name="6GW xP"/>
    <tableColumn id="31" name="xP/£m"/>
    <tableColumn id="32" name="Minutes Risk"/>
    <tableColumn id="33" name="Captain Ceiling"/>
    <tableColumn id="34" name="Captain Prob"/>
    <tableColumn id="35" name="Decision Score"/>
    <tableColumn id="36" name="Transfer Rank"/>
    <tableColumn id="3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nsferEV" displayName="TransferEV" ref="A5:Q105" headerRowCount="1">
  <autoFilter ref="A5:Q105"/>
  <tableColumns count="17">
    <tableColumn id="1" name="GW"/>
    <tableColumn id="2" name="OUT"/>
    <tableColumn id="3" name="IN"/>
    <tableColumn id="4" name="Free transfers available"/>
    <tableColumn id="5" name="Total transfers taken"/>
    <tableColumn id="6" name="Hit cost"/>
    <tableColumn id="7" name="OUT 6GW xP"/>
    <tableColumn id="8" name="IN 6GW xP"/>
    <tableColumn id="9" name="6GW gross gain"/>
    <tableColumn id="10" name="Net 6GW EV"/>
    <tableColumn id="11" name="OUT 8GW xP"/>
    <tableColumn id="12" name="IN 8GW xP"/>
    <tableColumn id="13" name="8GW gross gain"/>
    <tableColumn id="14" name="Net 8GW EV"/>
    <tableColumn id="15" name="Price delta"/>
    <tableColumn id="16" name="Fixture/role reason"/>
    <tableColumn id="17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2" t="inlineStr">
        <is>
          <t>FPL 2026/27 — Decision &amp; Planning Workbook</t>
        </is>
      </c>
    </row>
    <row r="3">
      <c r="A3" s="2" t="inlineStr">
        <is>
          <t>Purpose</t>
        </is>
      </c>
      <c r="B3" s="2" t="inlineStr">
        <is>
          <t>A transparent, formula-driven framework for weekly FPL decisions: player projection, fixture-adjusted value, minutes risk, captaincy, transfers, chips and review.</t>
        </is>
      </c>
    </row>
    <row r="4">
      <c r="A4" s="2" t="inlineStr">
        <is>
          <t>Important</t>
        </is>
      </c>
      <c r="B4" s="2" t="inlineStr">
        <is>
          <t>The workbook does not pretend to know future points. It turns your inputs into a consistent decision process. Update the input data each week.</t>
        </is>
      </c>
    </row>
    <row r="5">
      <c r="A5" s="2" t="inlineStr">
        <is>
          <t>Season</t>
        </is>
      </c>
      <c r="B5" s="2" t="inlineStr">
        <is>
          <t>2026/27</t>
        </is>
      </c>
    </row>
    <row r="7">
      <c r="A7" s="2" t="inlineStr">
        <is>
          <t>Weekly workflow</t>
        </is>
      </c>
    </row>
    <row r="8">
      <c r="A8" s="2" t="inlineStr">
        <is>
          <t>1. Update Player Pool with the latest player statistics, prices, minutes/start likelihood and next-fixture information.</t>
        </is>
      </c>
    </row>
    <row r="9">
      <c r="A9" s="2" t="inlineStr">
        <is>
          <t>2. Update the GW Planner with your squad, fixture difficulty and projected minutes for the next 6–8 Gameweeks.</t>
        </is>
      </c>
    </row>
    <row r="10">
      <c r="A10" s="2" t="inlineStr">
        <is>
          <t>3. Review Dashboard: xP, xP/£m, fixture-adjusted xP, minutes risk and captain score.</t>
        </is>
      </c>
    </row>
    <row r="11">
      <c r="A11" s="2" t="inlineStr">
        <is>
          <t>4. Use Transfers to compare OUT vs IN using projected gain, fixture run and transfer cost.</t>
        </is>
      </c>
    </row>
    <row r="12">
      <c r="A12" s="2" t="inlineStr">
        <is>
          <t>5. Check chips only when the underlying squad/fixture opportunity is materially stronger than a normal week.</t>
        </is>
      </c>
    </row>
    <row r="13">
      <c r="A13" s="2" t="inlineStr">
        <is>
          <t>6. Lock the XI, captain, vice-captain and bench order before the deadline. Then record the actual result and review your assumptions.</t>
        </is>
      </c>
    </row>
    <row r="16">
      <c r="A16" s="3" t="inlineStr">
        <is>
          <t>Official-rule anchors used in this workbook</t>
        </is>
      </c>
    </row>
    <row r="17">
      <c r="A17" s="4" t="inlineStr">
        <is>
          <t>Budget</t>
        </is>
      </c>
      <c r="B17" s="5" t="inlineStr">
        <is>
          <t>£100.0m initial squad budget</t>
        </is>
      </c>
      <c r="C17" s="23" t="n"/>
      <c r="D17" s="23" t="n"/>
      <c r="E17" s="23" t="n"/>
      <c r="F17" s="23" t="n"/>
      <c r="G17" s="23" t="n"/>
      <c r="H17" s="24" t="n"/>
    </row>
    <row r="18">
      <c r="A18" s="4" t="inlineStr">
        <is>
          <t>Squad</t>
        </is>
      </c>
      <c r="B18" s="5" t="inlineStr">
        <is>
          <t>15 players: 2 GK, 5 DEF, 5 MID, 3 FWD</t>
        </is>
      </c>
      <c r="C18" s="23" t="n"/>
      <c r="D18" s="23" t="n"/>
      <c r="E18" s="23" t="n"/>
      <c r="F18" s="23" t="n"/>
      <c r="G18" s="23" t="n"/>
      <c r="H18" s="24" t="n"/>
    </row>
    <row r="19">
      <c r="A19" s="4" t="inlineStr">
        <is>
          <t>Club limit</t>
        </is>
      </c>
      <c r="B19" s="5" t="inlineStr">
        <is>
          <t>Maximum 3 players from one Premier League club</t>
        </is>
      </c>
      <c r="C19" s="23" t="n"/>
      <c r="D19" s="23" t="n"/>
      <c r="E19" s="23" t="n"/>
      <c r="F19" s="23" t="n"/>
      <c r="G19" s="23" t="n"/>
      <c r="H19" s="24" t="n"/>
    </row>
    <row r="20">
      <c r="A20" s="4" t="inlineStr">
        <is>
          <t>Free transfers</t>
        </is>
      </c>
      <c r="B20" s="5" t="inlineStr">
        <is>
          <t>1 per Gameweek; saved transfers can accumulate up to 5</t>
        </is>
      </c>
      <c r="C20" s="23" t="n"/>
      <c r="D20" s="23" t="n"/>
      <c r="E20" s="23" t="n"/>
      <c r="F20" s="23" t="n"/>
      <c r="G20" s="23" t="n"/>
      <c r="H20" s="24" t="n"/>
    </row>
    <row r="21">
      <c r="A21" s="4" t="inlineStr">
        <is>
          <t>Extra transfer</t>
        </is>
      </c>
      <c r="B21" s="5" t="inlineStr">
        <is>
          <t>−4 points per additional transfer</t>
        </is>
      </c>
      <c r="C21" s="23" t="n"/>
      <c r="D21" s="23" t="n"/>
      <c r="E21" s="23" t="n"/>
      <c r="F21" s="23" t="n"/>
      <c r="G21" s="23" t="n"/>
      <c r="H21" s="24" t="n"/>
    </row>
    <row r="22">
      <c r="A22" s="4" t="inlineStr">
        <is>
          <t>Chips</t>
        </is>
      </c>
      <c r="B22" s="5" t="inlineStr">
        <is>
          <t>2026/27: Wildcard, Free Hit, Triple Captain and Bench Boost twice each</t>
        </is>
      </c>
      <c r="C22" s="23" t="n"/>
      <c r="D22" s="23" t="n"/>
      <c r="E22" s="23" t="n"/>
      <c r="F22" s="23" t="n"/>
      <c r="G22" s="23" t="n"/>
      <c r="H22" s="24" t="n"/>
    </row>
    <row r="23">
      <c r="A23" s="4" t="inlineStr">
        <is>
          <t>First chip set</t>
        </is>
      </c>
      <c r="B23" s="5" t="inlineStr">
        <is>
          <t>Must be used by the Gameweek 19 deadline</t>
        </is>
      </c>
      <c r="C23" s="23" t="n"/>
      <c r="D23" s="23" t="n"/>
      <c r="E23" s="23" t="n"/>
      <c r="F23" s="23" t="n"/>
      <c r="G23" s="23" t="n"/>
      <c r="H23" s="24" t="n"/>
    </row>
    <row r="24">
      <c r="A24" s="4" t="inlineStr">
        <is>
          <t>Deadline</t>
        </is>
      </c>
      <c r="B24" s="5" t="inlineStr">
        <is>
          <t>90 minutes before the first kick-off of the Gameweek</t>
        </is>
      </c>
      <c r="C24" s="23" t="n"/>
      <c r="D24" s="23" t="n"/>
      <c r="E24" s="23" t="n"/>
      <c r="F24" s="23" t="n"/>
      <c r="G24" s="23" t="n"/>
      <c r="H24" s="24" t="n"/>
    </row>
    <row r="25">
      <c r="A25" s="3" t="inlineStr">
        <is>
          <t>Advanced version additions</t>
        </is>
      </c>
    </row>
    <row r="26">
      <c r="A26" s="2" t="inlineStr">
        <is>
          <t>Weekly Input means you update one consolidated row per player rather than re-entering the same statistics across multiple sheets.</t>
        </is>
      </c>
    </row>
    <row r="27">
      <c r="A27" s="2" t="inlineStr">
        <is>
          <t>8-GW engine projects each player across eight future Gameweeks and discounts further-out weeks slightly.</t>
        </is>
      </c>
    </row>
    <row r="28">
      <c r="A28" s="2" t="inlineStr">
        <is>
          <t>Transfer EV compares both 6GW and 8GW expected value and explicitly subtracts the transfer hit.</t>
        </is>
      </c>
    </row>
    <row r="29">
      <c r="A29" s="2" t="inlineStr">
        <is>
          <t>Captaincy uses a relative probability distribution based on attacking ceiling, minutes confidence and fixture.</t>
        </is>
      </c>
    </row>
    <row r="30">
      <c r="A30" s="2" t="inlineStr">
        <is>
          <t>Chip Planner forces you to score the opportunity instead of using a chip simply because a Double Gameweek exists.</t>
        </is>
      </c>
    </row>
    <row r="31">
      <c r="A31" s="2" t="inlineStr">
        <is>
          <t>Weekly Review lets you calibrate the model without overreacting to one-week variance.</t>
        </is>
      </c>
    </row>
  </sheetData>
  <mergeCells count="23">
    <mergeCell ref="A9:H9"/>
    <mergeCell ref="A30:H30"/>
    <mergeCell ref="B24:H24"/>
    <mergeCell ref="A11:H11"/>
    <mergeCell ref="A1:H1"/>
    <mergeCell ref="B20:H20"/>
    <mergeCell ref="A25:H25"/>
    <mergeCell ref="A16:H16"/>
    <mergeCell ref="A27:H27"/>
    <mergeCell ref="A12:H12"/>
    <mergeCell ref="B22:H22"/>
    <mergeCell ref="A26:H26"/>
    <mergeCell ref="B18:H18"/>
    <mergeCell ref="B21:H21"/>
    <mergeCell ref="A8:H8"/>
    <mergeCell ref="B23:H23"/>
    <mergeCell ref="B17:H17"/>
    <mergeCell ref="A29:H29"/>
    <mergeCell ref="A10:H10"/>
    <mergeCell ref="A28:H28"/>
    <mergeCell ref="A13:H13"/>
    <mergeCell ref="B19:H19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42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How it is used</t>
        </is>
      </c>
    </row>
    <row r="2">
      <c r="A2" s="2" t="inlineStr">
        <is>
          <t>Base appearance xP</t>
        </is>
      </c>
      <c r="B2" s="7" t="n">
        <v>2</v>
      </c>
      <c r="C2" s="5" t="inlineStr">
        <is>
          <t>Baseline points per appearance before attacking/defensive/bonus contributions</t>
        </is>
      </c>
    </row>
    <row r="3">
      <c r="A3" s="2" t="inlineStr">
        <is>
          <t>Goal weight GK</t>
        </is>
      </c>
      <c r="B3" s="7" t="n">
        <v>10</v>
      </c>
      <c r="C3" s="5" t="inlineStr">
        <is>
          <t>FPL points per GK goal</t>
        </is>
      </c>
    </row>
    <row r="4">
      <c r="A4" s="2" t="inlineStr">
        <is>
          <t>Goal weight DEF</t>
        </is>
      </c>
      <c r="B4" s="7" t="n">
        <v>6</v>
      </c>
      <c r="C4" s="5" t="inlineStr">
        <is>
          <t>FPL points per defender goal</t>
        </is>
      </c>
    </row>
    <row r="5">
      <c r="A5" s="2" t="inlineStr">
        <is>
          <t>Goal weight MID</t>
        </is>
      </c>
      <c r="B5" s="7" t="n">
        <v>5</v>
      </c>
      <c r="C5" s="5" t="inlineStr">
        <is>
          <t>FPL points per midfielder goal</t>
        </is>
      </c>
    </row>
    <row r="6">
      <c r="A6" s="2" t="inlineStr">
        <is>
          <t>Goal weight FWD</t>
        </is>
      </c>
      <c r="B6" s="7" t="n">
        <v>4</v>
      </c>
      <c r="C6" s="5" t="inlineStr">
        <is>
          <t>FPL points per forward goal</t>
        </is>
      </c>
    </row>
    <row r="7">
      <c r="A7" s="2" t="inlineStr">
        <is>
          <t>Assist weight</t>
        </is>
      </c>
      <c r="B7" s="7" t="n">
        <v>3</v>
      </c>
      <c r="C7" s="5" t="inlineStr">
        <is>
          <t>FPL points per assist</t>
        </is>
      </c>
    </row>
    <row r="8">
      <c r="A8" s="2" t="inlineStr">
        <is>
          <t>CS weight GK/DEF</t>
        </is>
      </c>
      <c r="B8" s="7" t="n">
        <v>4</v>
      </c>
      <c r="C8" s="5" t="inlineStr">
        <is>
          <t>FPL points for a goalkeeper/defender clean sheet</t>
        </is>
      </c>
    </row>
    <row r="9">
      <c r="A9" s="2" t="inlineStr">
        <is>
          <t>CS weight MID</t>
        </is>
      </c>
      <c r="B9" s="7" t="n">
        <v>1</v>
      </c>
      <c r="C9" s="5" t="inlineStr">
        <is>
          <t>FPL points for a midfielder clean sheet</t>
        </is>
      </c>
    </row>
    <row r="10">
      <c r="A10" s="2" t="inlineStr">
        <is>
          <t>Save points per 3 saves</t>
        </is>
      </c>
      <c r="B10" s="7" t="n">
        <v>1</v>
      </c>
      <c r="C10" s="5" t="inlineStr">
        <is>
          <t>Goalkeeper save scoring</t>
        </is>
      </c>
    </row>
    <row r="11">
      <c r="A11" s="2" t="inlineStr">
        <is>
          <t>Defensive contribution points</t>
        </is>
      </c>
      <c r="B11" s="7" t="n">
        <v>2</v>
      </c>
      <c r="C11" s="5" t="inlineStr">
        <is>
          <t>Points awarded at the threshold</t>
        </is>
      </c>
    </row>
    <row r="12">
      <c r="A12" s="2" t="inlineStr">
        <is>
          <t>xG regression factor</t>
        </is>
      </c>
      <c r="B12" s="7" t="n">
        <v>0.65</v>
      </c>
      <c r="C12" s="5" t="inlineStr">
        <is>
          <t>Blends expected goals with actual goals to avoid overreacting to finishing streaks</t>
        </is>
      </c>
    </row>
    <row r="13">
      <c r="A13" s="2" t="inlineStr">
        <is>
          <t>xA regression factor</t>
        </is>
      </c>
      <c r="B13" s="7" t="n">
        <v>0.65</v>
      </c>
      <c r="C13" s="5" t="inlineStr">
        <is>
          <t>Blends expected assists with actual assists</t>
        </is>
      </c>
    </row>
    <row r="14">
      <c r="A14" s="2" t="inlineStr">
        <is>
          <t>Minutes certainty weight</t>
        </is>
      </c>
      <c r="B14" s="7" t="n">
        <v>0.75</v>
      </c>
      <c r="C14" s="5" t="inlineStr">
        <is>
          <t>Weight on expected minutes in projection</t>
        </is>
      </c>
    </row>
    <row r="15">
      <c r="A15" s="2" t="inlineStr">
        <is>
          <t>Fixture weight</t>
        </is>
      </c>
      <c r="B15" s="7" t="n">
        <v>0.2</v>
      </c>
      <c r="C15" s="5" t="inlineStr">
        <is>
          <t>Weight applied to fixture-adjusted projection</t>
        </is>
      </c>
    </row>
    <row r="16">
      <c r="A16" s="2" t="inlineStr">
        <is>
          <t>Form weight</t>
        </is>
      </c>
      <c r="B16" s="7" t="n">
        <v>0.2</v>
      </c>
      <c r="C16" s="5" t="inlineStr">
        <is>
          <t>Weight on recent per-90 output</t>
        </is>
      </c>
    </row>
    <row r="17">
      <c r="A17" s="2" t="inlineStr">
        <is>
          <t>Value weight</t>
        </is>
      </c>
      <c r="B17" s="7" t="n">
        <v>0.15</v>
      </c>
      <c r="C17" s="5" t="inlineStr">
        <is>
          <t>Weight on points per £m</t>
        </is>
      </c>
    </row>
    <row r="18">
      <c r="A18" s="2" t="inlineStr">
        <is>
          <t>Captain ceiling weight</t>
        </is>
      </c>
      <c r="B18" s="7" t="n">
        <v>0.1</v>
      </c>
      <c r="C18" s="5" t="inlineStr">
        <is>
          <t>Weight on attacking ceiling for captain score</t>
        </is>
      </c>
    </row>
    <row r="20">
      <c r="A20" s="25" t="inlineStr">
        <is>
          <t>Advanced model settings</t>
        </is>
      </c>
    </row>
    <row r="21">
      <c r="A21" s="8" t="inlineStr">
        <is>
          <t>Projection horizon</t>
        </is>
      </c>
      <c r="B21" s="26" t="n">
        <v>8</v>
      </c>
      <c r="C21" s="8" t="inlineStr">
        <is>
          <t>Number of future Gameweeks projected in the 8-GW engine.</t>
        </is>
      </c>
    </row>
    <row r="22">
      <c r="A22" s="8" t="inlineStr">
        <is>
          <t>Minutes prior weight</t>
        </is>
      </c>
      <c r="B22" s="26" t="n">
        <v>0.35</v>
      </c>
      <c r="C22" s="8" t="inlineStr">
        <is>
          <t>Weight assigned to historical minutes/start rate.</t>
        </is>
      </c>
    </row>
    <row r="23">
      <c r="A23" s="8" t="inlineStr">
        <is>
          <t>Minutes recent weight</t>
        </is>
      </c>
      <c r="B23" s="26" t="n">
        <v>0.65</v>
      </c>
      <c r="C23" s="8" t="inlineStr">
        <is>
          <t>Weight assigned to recent minutes/start rate.</t>
        </is>
      </c>
    </row>
    <row r="24">
      <c r="A24" s="8" t="inlineStr">
        <is>
          <t>xG weight</t>
        </is>
      </c>
      <c r="B24" s="26" t="n">
        <v>0.5</v>
      </c>
      <c r="C24" s="8" t="inlineStr">
        <is>
          <t>Share of attacking expectation from xG.</t>
        </is>
      </c>
    </row>
    <row r="25">
      <c r="A25" s="8" t="inlineStr">
        <is>
          <t>xA weight</t>
        </is>
      </c>
      <c r="B25" s="26" t="n">
        <v>0.3</v>
      </c>
      <c r="C25" s="8" t="inlineStr">
        <is>
          <t>Share of attacking expectation from xA.</t>
        </is>
      </c>
    </row>
    <row r="26">
      <c r="A26" s="8" t="inlineStr">
        <is>
          <t>Form weight (8GW)</t>
        </is>
      </c>
      <c r="B26" s="26" t="n">
        <v>0.2</v>
      </c>
      <c r="C26" s="8" t="inlineStr">
        <is>
          <t>Share of recent FPL points/90 in the projection.</t>
        </is>
      </c>
    </row>
    <row r="27">
      <c r="A27" s="8" t="inlineStr">
        <is>
          <t>Fixture range</t>
        </is>
      </c>
      <c r="B27" s="26" t="n">
        <v>0.2</v>
      </c>
      <c r="C27" s="8" t="inlineStr">
        <is>
          <t>Fixture adjustment strength; deliberately modest.</t>
        </is>
      </c>
    </row>
    <row r="28">
      <c r="A28" s="8" t="inlineStr">
        <is>
          <t>Rotation penalty max</t>
        </is>
      </c>
      <c r="B28" s="26" t="n">
        <v>0.3</v>
      </c>
      <c r="C28" s="8" t="inlineStr">
        <is>
          <t>Maximum projection penalty for uncertain minutes.</t>
        </is>
      </c>
    </row>
    <row r="29">
      <c r="A29" s="8" t="inlineStr">
        <is>
          <t>Captain ceiling multiplier</t>
        </is>
      </c>
      <c r="B29" s="26" t="n">
        <v>1.25</v>
      </c>
      <c r="C29" s="8" t="inlineStr">
        <is>
          <t>Adds upside emphasis to captain candidates.</t>
        </is>
      </c>
    </row>
    <row r="30">
      <c r="A30" s="8" t="inlineStr">
        <is>
          <t>Transfer horizon</t>
        </is>
      </c>
      <c r="B30" s="26" t="n">
        <v>6</v>
      </c>
      <c r="C30" s="8" t="inlineStr">
        <is>
          <t>Gameweeks used for transfer EV comparison.</t>
        </is>
      </c>
    </row>
    <row r="31">
      <c r="A31" s="8" t="inlineStr">
        <is>
          <t>Hit cost</t>
        </is>
      </c>
      <c r="B31" s="26" t="n">
        <v>4</v>
      </c>
      <c r="C31" s="8" t="inlineStr">
        <is>
          <t>FPL points deducted per additional transfer.</t>
        </is>
      </c>
    </row>
    <row r="32">
      <c r="A32" s="8" t="inlineStr">
        <is>
          <t>Sell-price haircut</t>
        </is>
      </c>
      <c r="B32" s="26" t="n">
        <v>0.5</v>
      </c>
      <c r="C32" s="8" t="inlineStr">
        <is>
          <t>Approximate treatment of selling value versus current price; editable.</t>
        </is>
      </c>
    </row>
  </sheetData>
  <mergeCells count="1"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5" customWidth="1" min="7" max="7"/>
    <col width="11" customWidth="1" min="8" max="8"/>
    <col width="11" customWidth="1" min="9" max="9"/>
    <col width="14" customWidth="1" min="10" max="10"/>
    <col width="16" customWidth="1" min="11" max="11"/>
    <col width="14" customWidth="1" min="12" max="12"/>
    <col width="20" customWidth="1" min="13" max="13"/>
    <col width="19" customWidth="1" min="14" max="14"/>
    <col width="26" customWidth="1" min="15" max="15"/>
    <col width="27" customWidth="1" min="16" max="16"/>
    <col width="21" customWidth="1" min="17" max="17"/>
    <col width="41" customWidth="1" min="18" max="18"/>
    <col width="33" customWidth="1" min="19" max="19"/>
    <col width="26" customWidth="1" min="20" max="20"/>
    <col width="26" customWidth="1" min="21" max="21"/>
    <col width="12" customWidth="1" min="22" max="22"/>
    <col width="42" customWidth="1" min="23" max="23"/>
    <col width="42" customWidth="1" min="24" max="24"/>
    <col width="37" customWidth="1" min="25" max="25"/>
    <col width="23" customWidth="1" min="26" max="26"/>
    <col width="34" customWidth="1" min="27" max="27"/>
    <col width="42" customWidth="1" min="28" max="28"/>
    <col width="42" customWidth="1" min="29" max="29"/>
    <col width="10" customWidth="1" min="30" max="30"/>
  </cols>
  <sheetData>
    <row r="1">
      <c r="A1" s="6" t="inlineStr">
        <is>
          <t>Player</t>
        </is>
      </c>
      <c r="B1" s="6" t="inlineStr">
        <is>
          <t>Club</t>
        </is>
      </c>
      <c r="C1" s="6" t="inlineStr">
        <is>
          <t>Pos</t>
        </is>
      </c>
      <c r="D1" s="6" t="inlineStr">
        <is>
          <t>Price £m</t>
        </is>
      </c>
      <c r="E1" s="6" t="inlineStr">
        <is>
          <t>Ownership %</t>
        </is>
      </c>
      <c r="F1" s="6" t="inlineStr">
        <is>
          <t>Minutes last 6</t>
        </is>
      </c>
      <c r="G1" s="6" t="inlineStr">
        <is>
          <t>Starts last 6</t>
        </is>
      </c>
      <c r="H1" s="6" t="inlineStr">
        <is>
          <t>xG last 6</t>
        </is>
      </c>
      <c r="I1" s="6" t="inlineStr">
        <is>
          <t>xA last 6</t>
        </is>
      </c>
      <c r="J1" s="6" t="inlineStr">
        <is>
          <t>Goals last 6</t>
        </is>
      </c>
      <c r="K1" s="6" t="inlineStr">
        <is>
          <t>Assists last 6</t>
        </is>
      </c>
      <c r="L1" s="6" t="inlineStr">
        <is>
          <t>Shots last 6</t>
        </is>
      </c>
      <c r="M1" s="6" t="inlineStr">
        <is>
          <t>Big chances last 6</t>
        </is>
      </c>
      <c r="N1" s="6" t="inlineStr">
        <is>
          <t>Key passes last 6</t>
        </is>
      </c>
      <c r="O1" s="6" t="inlineStr">
        <is>
          <t>Defensive contrib last 6</t>
        </is>
      </c>
      <c r="P1" s="6" t="inlineStr">
        <is>
          <t>Projected minutes next GW</t>
        </is>
      </c>
      <c r="Q1" s="6" t="inlineStr">
        <is>
          <t>Start probability %</t>
        </is>
      </c>
      <c r="R1" s="6" t="inlineStr">
        <is>
          <t>Next fixture difficulty (1 easy–5 hard)</t>
        </is>
      </c>
      <c r="S1" s="6" t="inlineStr">
        <is>
          <t>Fixture multiplier</t>
        </is>
      </c>
      <c r="T1" s="6" t="inlineStr">
        <is>
          <t>xG/90</t>
        </is>
      </c>
      <c r="U1" s="6" t="inlineStr">
        <is>
          <t>xA/90</t>
        </is>
      </c>
      <c r="V1" s="6" t="inlineStr">
        <is>
          <t>xGI/90</t>
        </is>
      </c>
      <c r="W1" s="6" t="inlineStr">
        <is>
          <t>Recent FPL pts/90</t>
        </is>
      </c>
      <c r="X1" s="6" t="inlineStr">
        <is>
          <t>Underlying xP next GW</t>
        </is>
      </c>
      <c r="Y1" s="6" t="inlineStr">
        <is>
          <t>Fixture-adjusted xP</t>
        </is>
      </c>
      <c r="Z1" s="6" t="inlineStr">
        <is>
          <t>xP/£m</t>
        </is>
      </c>
      <c r="AA1" s="6" t="inlineStr">
        <is>
          <t>Minutes risk</t>
        </is>
      </c>
      <c r="AB1" s="6" t="inlineStr">
        <is>
          <t>Decision Score</t>
        </is>
      </c>
      <c r="AC1" s="6" t="inlineStr">
        <is>
          <t>Captain Score</t>
        </is>
      </c>
      <c r="AD1" s="6" t="inlineStr">
        <is>
          <t>Notes</t>
        </is>
      </c>
    </row>
    <row r="2">
      <c r="A2" s="8" t="n"/>
      <c r="B2" s="8" t="n"/>
      <c r="C2" s="8" t="n"/>
      <c r="D2" s="9" t="n"/>
      <c r="E2" s="10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11" t="n"/>
      <c r="R2" s="12" t="n"/>
      <c r="S2" s="5">
        <f>IF(R2="","",1+(3-R2)*0.10)</f>
        <v/>
      </c>
      <c r="T2" s="13">
        <f>IFERROR(H2/F2*90,0)</f>
        <v/>
      </c>
      <c r="U2" s="13">
        <f>IFERROR(I2/F2*90,0)</f>
        <v/>
      </c>
      <c r="V2" s="13">
        <f>T2+U2</f>
        <v/>
      </c>
      <c r="W2" s="13">
        <f>IFERROR((H2*5+I2*3+J2*0+K2*0)/F2,0)</f>
        <v/>
      </c>
      <c r="X2" s="13">
        <f>IFERROR((2*(P2/90))+(T2/90*5)+(U2/90*3)+(O2/F2*2)+(W2*0.5),0)</f>
        <v/>
      </c>
      <c r="Y2" s="13">
        <f>IF(X2="","",X2*S2*(P2/90))</f>
        <v/>
      </c>
      <c r="Z2" s="14">
        <f>IFERROR(Y2/D2,0)</f>
        <v/>
      </c>
      <c r="AA2" s="15">
        <f>IF(P2="","",MAX(0,1-P2/90))</f>
        <v/>
      </c>
      <c r="AB2" s="13">
        <f>IFERROR(Y2*(1+0.20*W2+0.15*Z2)*(1-AA2*0.75),0)</f>
        <v/>
      </c>
      <c r="AC2" s="13">
        <f>IFERROR((T2+U2)*S2*(P2/90)*(1+0.25*(3-R2)),0)</f>
        <v/>
      </c>
      <c r="AD2" s="8" t="n"/>
    </row>
    <row r="3">
      <c r="A3" s="8" t="n"/>
      <c r="B3" s="8" t="n"/>
      <c r="C3" s="8" t="n"/>
      <c r="D3" s="9" t="n"/>
      <c r="E3" s="10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11" t="n"/>
      <c r="R3" s="12" t="n"/>
      <c r="S3" s="5">
        <f>IF(R3="","",1+(3-R3)*0.10)</f>
        <v/>
      </c>
      <c r="T3" s="13">
        <f>IFERROR(H3/F3*90,0)</f>
        <v/>
      </c>
      <c r="U3" s="13">
        <f>IFERROR(I3/F3*90,0)</f>
        <v/>
      </c>
      <c r="V3" s="13">
        <f>T3+U3</f>
        <v/>
      </c>
      <c r="W3" s="13">
        <f>IFERROR((H3*5+I3*3+J3*0+K3*0)/F3,0)</f>
        <v/>
      </c>
      <c r="X3" s="13">
        <f>IFERROR((2*(P3/90))+(T3/90*5)+(U3/90*3)+(O3/F3*2)+(W3*0.5),0)</f>
        <v/>
      </c>
      <c r="Y3" s="13">
        <f>IF(X3="","",X3*S3*(P3/90))</f>
        <v/>
      </c>
      <c r="Z3" s="14">
        <f>IFERROR(Y3/D3,0)</f>
        <v/>
      </c>
      <c r="AA3" s="15">
        <f>IF(P3="","",MAX(0,1-P3/90))</f>
        <v/>
      </c>
      <c r="AB3" s="13">
        <f>IFERROR(Y3*(1+0.20*W3+0.15*Z3)*(1-AA3*0.75),0)</f>
        <v/>
      </c>
      <c r="AC3" s="13">
        <f>IFERROR((T3+U3)*S3*(P3/90)*(1+0.25*(3-R3)),0)</f>
        <v/>
      </c>
      <c r="AD3" s="8" t="n"/>
    </row>
    <row r="4">
      <c r="A4" s="8" t="n"/>
      <c r="B4" s="8" t="n"/>
      <c r="C4" s="8" t="n"/>
      <c r="D4" s="9" t="n"/>
      <c r="E4" s="10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11" t="n"/>
      <c r="R4" s="12" t="n"/>
      <c r="S4" s="5">
        <f>IF(R4="","",1+(3-R4)*0.10)</f>
        <v/>
      </c>
      <c r="T4" s="13">
        <f>IFERROR(H4/F4*90,0)</f>
        <v/>
      </c>
      <c r="U4" s="13">
        <f>IFERROR(I4/F4*90,0)</f>
        <v/>
      </c>
      <c r="V4" s="13">
        <f>T4+U4</f>
        <v/>
      </c>
      <c r="W4" s="13">
        <f>IFERROR((H4*5+I4*3+J4*0+K4*0)/F4,0)</f>
        <v/>
      </c>
      <c r="X4" s="13">
        <f>IFERROR((2*(P4/90))+(T4/90*5)+(U4/90*3)+(O4/F4*2)+(W4*0.5),0)</f>
        <v/>
      </c>
      <c r="Y4" s="13">
        <f>IF(X4="","",X4*S4*(P4/90))</f>
        <v/>
      </c>
      <c r="Z4" s="14">
        <f>IFERROR(Y4/D4,0)</f>
        <v/>
      </c>
      <c r="AA4" s="15">
        <f>IF(P4="","",MAX(0,1-P4/90))</f>
        <v/>
      </c>
      <c r="AB4" s="13">
        <f>IFERROR(Y4*(1+0.20*W4+0.15*Z4)*(1-AA4*0.75),0)</f>
        <v/>
      </c>
      <c r="AC4" s="13">
        <f>IFERROR((T4+U4)*S4*(P4/90)*(1+0.25*(3-R4)),0)</f>
        <v/>
      </c>
      <c r="AD4" s="8" t="n"/>
    </row>
    <row r="5">
      <c r="A5" s="8" t="n"/>
      <c r="B5" s="8" t="n"/>
      <c r="C5" s="8" t="n"/>
      <c r="D5" s="9" t="n"/>
      <c r="E5" s="10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11" t="n"/>
      <c r="R5" s="12" t="n"/>
      <c r="S5" s="5">
        <f>IF(R5="","",1+(3-R5)*0.10)</f>
        <v/>
      </c>
      <c r="T5" s="13">
        <f>IFERROR(H5/F5*90,0)</f>
        <v/>
      </c>
      <c r="U5" s="13">
        <f>IFERROR(I5/F5*90,0)</f>
        <v/>
      </c>
      <c r="V5" s="13">
        <f>T5+U5</f>
        <v/>
      </c>
      <c r="W5" s="13">
        <f>IFERROR((H5*5+I5*3+J5*0+K5*0)/F5,0)</f>
        <v/>
      </c>
      <c r="X5" s="13">
        <f>IFERROR((2*(P5/90))+(T5/90*5)+(U5/90*3)+(O5/F5*2)+(W5*0.5),0)</f>
        <v/>
      </c>
      <c r="Y5" s="13">
        <f>IF(X5="","",X5*S5*(P5/90))</f>
        <v/>
      </c>
      <c r="Z5" s="14">
        <f>IFERROR(Y5/D5,0)</f>
        <v/>
      </c>
      <c r="AA5" s="15">
        <f>IF(P5="","",MAX(0,1-P5/90))</f>
        <v/>
      </c>
      <c r="AB5" s="13">
        <f>IFERROR(Y5*(1+0.20*W5+0.15*Z5)*(1-AA5*0.75),0)</f>
        <v/>
      </c>
      <c r="AC5" s="13">
        <f>IFERROR((T5+U5)*S5*(P5/90)*(1+0.25*(3-R5)),0)</f>
        <v/>
      </c>
      <c r="AD5" s="8" t="n"/>
    </row>
    <row r="6">
      <c r="A6" s="8" t="n"/>
      <c r="B6" s="8" t="n"/>
      <c r="C6" s="8" t="n"/>
      <c r="D6" s="9" t="n"/>
      <c r="E6" s="10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11" t="n"/>
      <c r="R6" s="12" t="n"/>
      <c r="S6" s="5">
        <f>IF(R6="","",1+(3-R6)*0.10)</f>
        <v/>
      </c>
      <c r="T6" s="13">
        <f>IFERROR(H6/F6*90,0)</f>
        <v/>
      </c>
      <c r="U6" s="13">
        <f>IFERROR(I6/F6*90,0)</f>
        <v/>
      </c>
      <c r="V6" s="13">
        <f>T6+U6</f>
        <v/>
      </c>
      <c r="W6" s="13">
        <f>IFERROR((H6*5+I6*3+J6*0+K6*0)/F6,0)</f>
        <v/>
      </c>
      <c r="X6" s="13">
        <f>IFERROR((2*(P6/90))+(T6/90*5)+(U6/90*3)+(O6/F6*2)+(W6*0.5),0)</f>
        <v/>
      </c>
      <c r="Y6" s="13">
        <f>IF(X6="","",X6*S6*(P6/90))</f>
        <v/>
      </c>
      <c r="Z6" s="14">
        <f>IFERROR(Y6/D6,0)</f>
        <v/>
      </c>
      <c r="AA6" s="15">
        <f>IF(P6="","",MAX(0,1-P6/90))</f>
        <v/>
      </c>
      <c r="AB6" s="13">
        <f>IFERROR(Y6*(1+0.20*W6+0.15*Z6)*(1-AA6*0.75),0)</f>
        <v/>
      </c>
      <c r="AC6" s="13">
        <f>IFERROR((T6+U6)*S6*(P6/90)*(1+0.25*(3-R6)),0)</f>
        <v/>
      </c>
      <c r="AD6" s="8" t="n"/>
    </row>
    <row r="7">
      <c r="A7" s="8" t="n"/>
      <c r="B7" s="8" t="n"/>
      <c r="C7" s="8" t="n"/>
      <c r="D7" s="9" t="n"/>
      <c r="E7" s="10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11" t="n"/>
      <c r="R7" s="12" t="n"/>
      <c r="S7" s="5">
        <f>IF(R7="","",1+(3-R7)*0.10)</f>
        <v/>
      </c>
      <c r="T7" s="13">
        <f>IFERROR(H7/F7*90,0)</f>
        <v/>
      </c>
      <c r="U7" s="13">
        <f>IFERROR(I7/F7*90,0)</f>
        <v/>
      </c>
      <c r="V7" s="13">
        <f>T7+U7</f>
        <v/>
      </c>
      <c r="W7" s="13">
        <f>IFERROR((H7*5+I7*3+J7*0+K7*0)/F7,0)</f>
        <v/>
      </c>
      <c r="X7" s="13">
        <f>IFERROR((2*(P7/90))+(T7/90*5)+(U7/90*3)+(O7/F7*2)+(W7*0.5),0)</f>
        <v/>
      </c>
      <c r="Y7" s="13">
        <f>IF(X7="","",X7*S7*(P7/90))</f>
        <v/>
      </c>
      <c r="Z7" s="14">
        <f>IFERROR(Y7/D7,0)</f>
        <v/>
      </c>
      <c r="AA7" s="15">
        <f>IF(P7="","",MAX(0,1-P7/90))</f>
        <v/>
      </c>
      <c r="AB7" s="13">
        <f>IFERROR(Y7*(1+0.20*W7+0.15*Z7)*(1-AA7*0.75),0)</f>
        <v/>
      </c>
      <c r="AC7" s="13">
        <f>IFERROR((T7+U7)*S7*(P7/90)*(1+0.25*(3-R7)),0)</f>
        <v/>
      </c>
      <c r="AD7" s="8" t="n"/>
    </row>
    <row r="8">
      <c r="A8" s="8" t="n"/>
      <c r="B8" s="8" t="n"/>
      <c r="C8" s="8" t="n"/>
      <c r="D8" s="9" t="n"/>
      <c r="E8" s="10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11" t="n"/>
      <c r="R8" s="12" t="n"/>
      <c r="S8" s="5">
        <f>IF(R8="","",1+(3-R8)*0.10)</f>
        <v/>
      </c>
      <c r="T8" s="13">
        <f>IFERROR(H8/F8*90,0)</f>
        <v/>
      </c>
      <c r="U8" s="13">
        <f>IFERROR(I8/F8*90,0)</f>
        <v/>
      </c>
      <c r="V8" s="13">
        <f>T8+U8</f>
        <v/>
      </c>
      <c r="W8" s="13">
        <f>IFERROR((H8*5+I8*3+J8*0+K8*0)/F8,0)</f>
        <v/>
      </c>
      <c r="X8" s="13">
        <f>IFERROR((2*(P8/90))+(T8/90*5)+(U8/90*3)+(O8/F8*2)+(W8*0.5),0)</f>
        <v/>
      </c>
      <c r="Y8" s="13">
        <f>IF(X8="","",X8*S8*(P8/90))</f>
        <v/>
      </c>
      <c r="Z8" s="14">
        <f>IFERROR(Y8/D8,0)</f>
        <v/>
      </c>
      <c r="AA8" s="15">
        <f>IF(P8="","",MAX(0,1-P8/90))</f>
        <v/>
      </c>
      <c r="AB8" s="13">
        <f>IFERROR(Y8*(1+0.20*W8+0.15*Z8)*(1-AA8*0.75),0)</f>
        <v/>
      </c>
      <c r="AC8" s="13">
        <f>IFERROR((T8+U8)*S8*(P8/90)*(1+0.25*(3-R8)),0)</f>
        <v/>
      </c>
      <c r="AD8" s="8" t="n"/>
    </row>
    <row r="9">
      <c r="A9" s="8" t="n"/>
      <c r="B9" s="8" t="n"/>
      <c r="C9" s="8" t="n"/>
      <c r="D9" s="9" t="n"/>
      <c r="E9" s="10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11" t="n"/>
      <c r="R9" s="12" t="n"/>
      <c r="S9" s="5">
        <f>IF(R9="","",1+(3-R9)*0.10)</f>
        <v/>
      </c>
      <c r="T9" s="13">
        <f>IFERROR(H9/F9*90,0)</f>
        <v/>
      </c>
      <c r="U9" s="13">
        <f>IFERROR(I9/F9*90,0)</f>
        <v/>
      </c>
      <c r="V9" s="13">
        <f>T9+U9</f>
        <v/>
      </c>
      <c r="W9" s="13">
        <f>IFERROR((H9*5+I9*3+J9*0+K9*0)/F9,0)</f>
        <v/>
      </c>
      <c r="X9" s="13">
        <f>IFERROR((2*(P9/90))+(T9/90*5)+(U9/90*3)+(O9/F9*2)+(W9*0.5),0)</f>
        <v/>
      </c>
      <c r="Y9" s="13">
        <f>IF(X9="","",X9*S9*(P9/90))</f>
        <v/>
      </c>
      <c r="Z9" s="14">
        <f>IFERROR(Y9/D9,0)</f>
        <v/>
      </c>
      <c r="AA9" s="15">
        <f>IF(P9="","",MAX(0,1-P9/90))</f>
        <v/>
      </c>
      <c r="AB9" s="13">
        <f>IFERROR(Y9*(1+0.20*W9+0.15*Z9)*(1-AA9*0.75),0)</f>
        <v/>
      </c>
      <c r="AC9" s="13">
        <f>IFERROR((T9+U9)*S9*(P9/90)*(1+0.25*(3-R9)),0)</f>
        <v/>
      </c>
      <c r="AD9" s="8" t="n"/>
    </row>
    <row r="10">
      <c r="A10" s="8" t="n"/>
      <c r="B10" s="8" t="n"/>
      <c r="C10" s="8" t="n"/>
      <c r="D10" s="9" t="n"/>
      <c r="E10" s="10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11" t="n"/>
      <c r="R10" s="12" t="n"/>
      <c r="S10" s="5">
        <f>IF(R10="","",1+(3-R10)*0.10)</f>
        <v/>
      </c>
      <c r="T10" s="13">
        <f>IFERROR(H10/F10*90,0)</f>
        <v/>
      </c>
      <c r="U10" s="13">
        <f>IFERROR(I10/F10*90,0)</f>
        <v/>
      </c>
      <c r="V10" s="13">
        <f>T10+U10</f>
        <v/>
      </c>
      <c r="W10" s="13">
        <f>IFERROR((H10*5+I10*3+J10*0+K10*0)/F10,0)</f>
        <v/>
      </c>
      <c r="X10" s="13">
        <f>IFERROR((2*(P10/90))+(T10/90*5)+(U10/90*3)+(O10/F10*2)+(W10*0.5),0)</f>
        <v/>
      </c>
      <c r="Y10" s="13">
        <f>IF(X10="","",X10*S10*(P10/90))</f>
        <v/>
      </c>
      <c r="Z10" s="14">
        <f>IFERROR(Y10/D10,0)</f>
        <v/>
      </c>
      <c r="AA10" s="15">
        <f>IF(P10="","",MAX(0,1-P10/90))</f>
        <v/>
      </c>
      <c r="AB10" s="13">
        <f>IFERROR(Y10*(1+0.20*W10+0.15*Z10)*(1-AA10*0.75),0)</f>
        <v/>
      </c>
      <c r="AC10" s="13">
        <f>IFERROR((T10+U10)*S10*(P10/90)*(1+0.25*(3-R10)),0)</f>
        <v/>
      </c>
      <c r="AD10" s="8" t="n"/>
    </row>
    <row r="11">
      <c r="A11" s="8" t="n"/>
      <c r="B11" s="8" t="n"/>
      <c r="C11" s="8" t="n"/>
      <c r="D11" s="9" t="n"/>
      <c r="E11" s="10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2" t="n"/>
      <c r="S11" s="5">
        <f>IF(R11="","",1+(3-R11)*0.10)</f>
        <v/>
      </c>
      <c r="T11" s="13">
        <f>IFERROR(H11/F11*90,0)</f>
        <v/>
      </c>
      <c r="U11" s="13">
        <f>IFERROR(I11/F11*90,0)</f>
        <v/>
      </c>
      <c r="V11" s="13">
        <f>T11+U11</f>
        <v/>
      </c>
      <c r="W11" s="13">
        <f>IFERROR((H11*5+I11*3+J11*0+K11*0)/F11,0)</f>
        <v/>
      </c>
      <c r="X11" s="13">
        <f>IFERROR((2*(P11/90))+(T11/90*5)+(U11/90*3)+(O11/F11*2)+(W11*0.5),0)</f>
        <v/>
      </c>
      <c r="Y11" s="13">
        <f>IF(X11="","",X11*S11*(P11/90))</f>
        <v/>
      </c>
      <c r="Z11" s="14">
        <f>IFERROR(Y11/D11,0)</f>
        <v/>
      </c>
      <c r="AA11" s="15">
        <f>IF(P11="","",MAX(0,1-P11/90))</f>
        <v/>
      </c>
      <c r="AB11" s="13">
        <f>IFERROR(Y11*(1+0.20*W11+0.15*Z11)*(1-AA11*0.75),0)</f>
        <v/>
      </c>
      <c r="AC11" s="13">
        <f>IFERROR((T11+U11)*S11*(P11/90)*(1+0.25*(3-R11)),0)</f>
        <v/>
      </c>
      <c r="AD11" s="8" t="n"/>
    </row>
    <row r="12">
      <c r="A12" s="8" t="n"/>
      <c r="B12" s="8" t="n"/>
      <c r="C12" s="8" t="n"/>
      <c r="D12" s="9" t="n"/>
      <c r="E12" s="10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11" t="n"/>
      <c r="R12" s="12" t="n"/>
      <c r="S12" s="5">
        <f>IF(R12="","",1+(3-R12)*0.10)</f>
        <v/>
      </c>
      <c r="T12" s="13">
        <f>IFERROR(H12/F12*90,0)</f>
        <v/>
      </c>
      <c r="U12" s="13">
        <f>IFERROR(I12/F12*90,0)</f>
        <v/>
      </c>
      <c r="V12" s="13">
        <f>T12+U12</f>
        <v/>
      </c>
      <c r="W12" s="13">
        <f>IFERROR((H12*5+I12*3+J12*0+K12*0)/F12,0)</f>
        <v/>
      </c>
      <c r="X12" s="13">
        <f>IFERROR((2*(P12/90))+(T12/90*5)+(U12/90*3)+(O12/F12*2)+(W12*0.5),0)</f>
        <v/>
      </c>
      <c r="Y12" s="13">
        <f>IF(X12="","",X12*S12*(P12/90))</f>
        <v/>
      </c>
      <c r="Z12" s="14">
        <f>IFERROR(Y12/D12,0)</f>
        <v/>
      </c>
      <c r="AA12" s="15">
        <f>IF(P12="","",MAX(0,1-P12/90))</f>
        <v/>
      </c>
      <c r="AB12" s="13">
        <f>IFERROR(Y12*(1+0.20*W12+0.15*Z12)*(1-AA12*0.75),0)</f>
        <v/>
      </c>
      <c r="AC12" s="13">
        <f>IFERROR((T12+U12)*S12*(P12/90)*(1+0.25*(3-R12)),0)</f>
        <v/>
      </c>
      <c r="AD12" s="8" t="n"/>
    </row>
    <row r="13">
      <c r="A13" s="8" t="n"/>
      <c r="B13" s="8" t="n"/>
      <c r="C13" s="8" t="n"/>
      <c r="D13" s="9" t="n"/>
      <c r="E13" s="10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11" t="n"/>
      <c r="R13" s="12" t="n"/>
      <c r="S13" s="5">
        <f>IF(R13="","",1+(3-R13)*0.10)</f>
        <v/>
      </c>
      <c r="T13" s="13">
        <f>IFERROR(H13/F13*90,0)</f>
        <v/>
      </c>
      <c r="U13" s="13">
        <f>IFERROR(I13/F13*90,0)</f>
        <v/>
      </c>
      <c r="V13" s="13">
        <f>T13+U13</f>
        <v/>
      </c>
      <c r="W13" s="13">
        <f>IFERROR((H13*5+I13*3+J13*0+K13*0)/F13,0)</f>
        <v/>
      </c>
      <c r="X13" s="13">
        <f>IFERROR((2*(P13/90))+(T13/90*5)+(U13/90*3)+(O13/F13*2)+(W13*0.5),0)</f>
        <v/>
      </c>
      <c r="Y13" s="13">
        <f>IF(X13="","",X13*S13*(P13/90))</f>
        <v/>
      </c>
      <c r="Z13" s="14">
        <f>IFERROR(Y13/D13,0)</f>
        <v/>
      </c>
      <c r="AA13" s="15">
        <f>IF(P13="","",MAX(0,1-P13/90))</f>
        <v/>
      </c>
      <c r="AB13" s="13">
        <f>IFERROR(Y13*(1+0.20*W13+0.15*Z13)*(1-AA13*0.75),0)</f>
        <v/>
      </c>
      <c r="AC13" s="13">
        <f>IFERROR((T13+U13)*S13*(P13/90)*(1+0.25*(3-R13)),0)</f>
        <v/>
      </c>
      <c r="AD13" s="8" t="n"/>
    </row>
    <row r="14">
      <c r="A14" s="8" t="n"/>
      <c r="B14" s="8" t="n"/>
      <c r="C14" s="8" t="n"/>
      <c r="D14" s="9" t="n"/>
      <c r="E14" s="10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11" t="n"/>
      <c r="R14" s="12" t="n"/>
      <c r="S14" s="5">
        <f>IF(R14="","",1+(3-R14)*0.10)</f>
        <v/>
      </c>
      <c r="T14" s="13">
        <f>IFERROR(H14/F14*90,0)</f>
        <v/>
      </c>
      <c r="U14" s="13">
        <f>IFERROR(I14/F14*90,0)</f>
        <v/>
      </c>
      <c r="V14" s="13">
        <f>T14+U14</f>
        <v/>
      </c>
      <c r="W14" s="13">
        <f>IFERROR((H14*5+I14*3+J14*0+K14*0)/F14,0)</f>
        <v/>
      </c>
      <c r="X14" s="13">
        <f>IFERROR((2*(P14/90))+(T14/90*5)+(U14/90*3)+(O14/F14*2)+(W14*0.5),0)</f>
        <v/>
      </c>
      <c r="Y14" s="13">
        <f>IF(X14="","",X14*S14*(P14/90))</f>
        <v/>
      </c>
      <c r="Z14" s="14">
        <f>IFERROR(Y14/D14,0)</f>
        <v/>
      </c>
      <c r="AA14" s="15">
        <f>IF(P14="","",MAX(0,1-P14/90))</f>
        <v/>
      </c>
      <c r="AB14" s="13">
        <f>IFERROR(Y14*(1+0.20*W14+0.15*Z14)*(1-AA14*0.75),0)</f>
        <v/>
      </c>
      <c r="AC14" s="13">
        <f>IFERROR((T14+U14)*S14*(P14/90)*(1+0.25*(3-R14)),0)</f>
        <v/>
      </c>
      <c r="AD14" s="8" t="n"/>
    </row>
    <row r="15">
      <c r="A15" s="8" t="n"/>
      <c r="B15" s="8" t="n"/>
      <c r="C15" s="8" t="n"/>
      <c r="D15" s="9" t="n"/>
      <c r="E15" s="10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11" t="n"/>
      <c r="R15" s="12" t="n"/>
      <c r="S15" s="5">
        <f>IF(R15="","",1+(3-R15)*0.10)</f>
        <v/>
      </c>
      <c r="T15" s="13">
        <f>IFERROR(H15/F15*90,0)</f>
        <v/>
      </c>
      <c r="U15" s="13">
        <f>IFERROR(I15/F15*90,0)</f>
        <v/>
      </c>
      <c r="V15" s="13">
        <f>T15+U15</f>
        <v/>
      </c>
      <c r="W15" s="13">
        <f>IFERROR((H15*5+I15*3+J15*0+K15*0)/F15,0)</f>
        <v/>
      </c>
      <c r="X15" s="13">
        <f>IFERROR((2*(P15/90))+(T15/90*5)+(U15/90*3)+(O15/F15*2)+(W15*0.5),0)</f>
        <v/>
      </c>
      <c r="Y15" s="13">
        <f>IF(X15="","",X15*S15*(P15/90))</f>
        <v/>
      </c>
      <c r="Z15" s="14">
        <f>IFERROR(Y15/D15,0)</f>
        <v/>
      </c>
      <c r="AA15" s="15">
        <f>IF(P15="","",MAX(0,1-P15/90))</f>
        <v/>
      </c>
      <c r="AB15" s="13">
        <f>IFERROR(Y15*(1+0.20*W15+0.15*Z15)*(1-AA15*0.75),0)</f>
        <v/>
      </c>
      <c r="AC15" s="13">
        <f>IFERROR((T15+U15)*S15*(P15/90)*(1+0.25*(3-R15)),0)</f>
        <v/>
      </c>
      <c r="AD15" s="8" t="n"/>
    </row>
    <row r="16">
      <c r="A16" s="8" t="n"/>
      <c r="B16" s="8" t="n"/>
      <c r="C16" s="8" t="n"/>
      <c r="D16" s="9" t="n"/>
      <c r="E16" s="10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11" t="n"/>
      <c r="R16" s="12" t="n"/>
      <c r="S16" s="5">
        <f>IF(R16="","",1+(3-R16)*0.10)</f>
        <v/>
      </c>
      <c r="T16" s="13">
        <f>IFERROR(H16/F16*90,0)</f>
        <v/>
      </c>
      <c r="U16" s="13">
        <f>IFERROR(I16/F16*90,0)</f>
        <v/>
      </c>
      <c r="V16" s="13">
        <f>T16+U16</f>
        <v/>
      </c>
      <c r="W16" s="13">
        <f>IFERROR((H16*5+I16*3+J16*0+K16*0)/F16,0)</f>
        <v/>
      </c>
      <c r="X16" s="13">
        <f>IFERROR((2*(P16/90))+(T16/90*5)+(U16/90*3)+(O16/F16*2)+(W16*0.5),0)</f>
        <v/>
      </c>
      <c r="Y16" s="13">
        <f>IF(X16="","",X16*S16*(P16/90))</f>
        <v/>
      </c>
      <c r="Z16" s="14">
        <f>IFERROR(Y16/D16,0)</f>
        <v/>
      </c>
      <c r="AA16" s="15">
        <f>IF(P16="","",MAX(0,1-P16/90))</f>
        <v/>
      </c>
      <c r="AB16" s="13">
        <f>IFERROR(Y16*(1+0.20*W16+0.15*Z16)*(1-AA16*0.75),0)</f>
        <v/>
      </c>
      <c r="AC16" s="13">
        <f>IFERROR((T16+U16)*S16*(P16/90)*(1+0.25*(3-R16)),0)</f>
        <v/>
      </c>
      <c r="AD16" s="8" t="n"/>
    </row>
    <row r="17">
      <c r="A17" s="8" t="n"/>
      <c r="B17" s="8" t="n"/>
      <c r="C17" s="8" t="n"/>
      <c r="D17" s="9" t="n"/>
      <c r="E17" s="10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11" t="n"/>
      <c r="R17" s="12" t="n"/>
      <c r="S17" s="5">
        <f>IF(R17="","",1+(3-R17)*0.10)</f>
        <v/>
      </c>
      <c r="T17" s="13">
        <f>IFERROR(H17/F17*90,0)</f>
        <v/>
      </c>
      <c r="U17" s="13">
        <f>IFERROR(I17/F17*90,0)</f>
        <v/>
      </c>
      <c r="V17" s="13">
        <f>T17+U17</f>
        <v/>
      </c>
      <c r="W17" s="13">
        <f>IFERROR((H17*5+I17*3+J17*0+K17*0)/F17,0)</f>
        <v/>
      </c>
      <c r="X17" s="13">
        <f>IFERROR((2*(P17/90))+(T17/90*5)+(U17/90*3)+(O17/F17*2)+(W17*0.5),0)</f>
        <v/>
      </c>
      <c r="Y17" s="13">
        <f>IF(X17="","",X17*S17*(P17/90))</f>
        <v/>
      </c>
      <c r="Z17" s="14">
        <f>IFERROR(Y17/D17,0)</f>
        <v/>
      </c>
      <c r="AA17" s="15">
        <f>IF(P17="","",MAX(0,1-P17/90))</f>
        <v/>
      </c>
      <c r="AB17" s="13">
        <f>IFERROR(Y17*(1+0.20*W17+0.15*Z17)*(1-AA17*0.75),0)</f>
        <v/>
      </c>
      <c r="AC17" s="13">
        <f>IFERROR((T17+U17)*S17*(P17/90)*(1+0.25*(3-R17)),0)</f>
        <v/>
      </c>
      <c r="AD17" s="8" t="n"/>
    </row>
    <row r="18">
      <c r="A18" s="8" t="n"/>
      <c r="B18" s="8" t="n"/>
      <c r="C18" s="8" t="n"/>
      <c r="D18" s="9" t="n"/>
      <c r="E18" s="10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11" t="n"/>
      <c r="R18" s="12" t="n"/>
      <c r="S18" s="5">
        <f>IF(R18="","",1+(3-R18)*0.10)</f>
        <v/>
      </c>
      <c r="T18" s="13">
        <f>IFERROR(H18/F18*90,0)</f>
        <v/>
      </c>
      <c r="U18" s="13">
        <f>IFERROR(I18/F18*90,0)</f>
        <v/>
      </c>
      <c r="V18" s="13">
        <f>T18+U18</f>
        <v/>
      </c>
      <c r="W18" s="13">
        <f>IFERROR((H18*5+I18*3+J18*0+K18*0)/F18,0)</f>
        <v/>
      </c>
      <c r="X18" s="13">
        <f>IFERROR((2*(P18/90))+(T18/90*5)+(U18/90*3)+(O18/F18*2)+(W18*0.5),0)</f>
        <v/>
      </c>
      <c r="Y18" s="13">
        <f>IF(X18="","",X18*S18*(P18/90))</f>
        <v/>
      </c>
      <c r="Z18" s="14">
        <f>IFERROR(Y18/D18,0)</f>
        <v/>
      </c>
      <c r="AA18" s="15">
        <f>IF(P18="","",MAX(0,1-P18/90))</f>
        <v/>
      </c>
      <c r="AB18" s="13">
        <f>IFERROR(Y18*(1+0.20*W18+0.15*Z18)*(1-AA18*0.75),0)</f>
        <v/>
      </c>
      <c r="AC18" s="13">
        <f>IFERROR((T18+U18)*S18*(P18/90)*(1+0.25*(3-R18)),0)</f>
        <v/>
      </c>
      <c r="AD18" s="8" t="n"/>
    </row>
    <row r="19">
      <c r="A19" s="8" t="n"/>
      <c r="B19" s="8" t="n"/>
      <c r="C19" s="8" t="n"/>
      <c r="D19" s="9" t="n"/>
      <c r="E19" s="10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11" t="n"/>
      <c r="R19" s="12" t="n"/>
      <c r="S19" s="5">
        <f>IF(R19="","",1+(3-R19)*0.10)</f>
        <v/>
      </c>
      <c r="T19" s="13">
        <f>IFERROR(H19/F19*90,0)</f>
        <v/>
      </c>
      <c r="U19" s="13">
        <f>IFERROR(I19/F19*90,0)</f>
        <v/>
      </c>
      <c r="V19" s="13">
        <f>T19+U19</f>
        <v/>
      </c>
      <c r="W19" s="13">
        <f>IFERROR((H19*5+I19*3+J19*0+K19*0)/F19,0)</f>
        <v/>
      </c>
      <c r="X19" s="13">
        <f>IFERROR((2*(P19/90))+(T19/90*5)+(U19/90*3)+(O19/F19*2)+(W19*0.5),0)</f>
        <v/>
      </c>
      <c r="Y19" s="13">
        <f>IF(X19="","",X19*S19*(P19/90))</f>
        <v/>
      </c>
      <c r="Z19" s="14">
        <f>IFERROR(Y19/D19,0)</f>
        <v/>
      </c>
      <c r="AA19" s="15">
        <f>IF(P19="","",MAX(0,1-P19/90))</f>
        <v/>
      </c>
      <c r="AB19" s="13">
        <f>IFERROR(Y19*(1+0.20*W19+0.15*Z19)*(1-AA19*0.75),0)</f>
        <v/>
      </c>
      <c r="AC19" s="13">
        <f>IFERROR((T19+U19)*S19*(P19/90)*(1+0.25*(3-R19)),0)</f>
        <v/>
      </c>
      <c r="AD19" s="8" t="n"/>
    </row>
    <row r="20">
      <c r="A20" s="8" t="n"/>
      <c r="B20" s="8" t="n"/>
      <c r="C20" s="8" t="n"/>
      <c r="D20" s="9" t="n"/>
      <c r="E20" s="10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11" t="n"/>
      <c r="R20" s="12" t="n"/>
      <c r="S20" s="5">
        <f>IF(R20="","",1+(3-R20)*0.10)</f>
        <v/>
      </c>
      <c r="T20" s="13">
        <f>IFERROR(H20/F20*90,0)</f>
        <v/>
      </c>
      <c r="U20" s="13">
        <f>IFERROR(I20/F20*90,0)</f>
        <v/>
      </c>
      <c r="V20" s="13">
        <f>T20+U20</f>
        <v/>
      </c>
      <c r="W20" s="13">
        <f>IFERROR((H20*5+I20*3+J20*0+K20*0)/F20,0)</f>
        <v/>
      </c>
      <c r="X20" s="13">
        <f>IFERROR((2*(P20/90))+(T20/90*5)+(U20/90*3)+(O20/F20*2)+(W20*0.5),0)</f>
        <v/>
      </c>
      <c r="Y20" s="13">
        <f>IF(X20="","",X20*S20*(P20/90))</f>
        <v/>
      </c>
      <c r="Z20" s="14">
        <f>IFERROR(Y20/D20,0)</f>
        <v/>
      </c>
      <c r="AA20" s="15">
        <f>IF(P20="","",MAX(0,1-P20/90))</f>
        <v/>
      </c>
      <c r="AB20" s="13">
        <f>IFERROR(Y20*(1+0.20*W20+0.15*Z20)*(1-AA20*0.75),0)</f>
        <v/>
      </c>
      <c r="AC20" s="13">
        <f>IFERROR((T20+U20)*S20*(P20/90)*(1+0.25*(3-R20)),0)</f>
        <v/>
      </c>
      <c r="AD20" s="8" t="n"/>
    </row>
    <row r="21">
      <c r="A21" s="8" t="n"/>
      <c r="B21" s="8" t="n"/>
      <c r="C21" s="8" t="n"/>
      <c r="D21" s="9" t="n"/>
      <c r="E21" s="10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11" t="n"/>
      <c r="R21" s="12" t="n"/>
      <c r="S21" s="5">
        <f>IF(R21="","",1+(3-R21)*0.10)</f>
        <v/>
      </c>
      <c r="T21" s="13">
        <f>IFERROR(H21/F21*90,0)</f>
        <v/>
      </c>
      <c r="U21" s="13">
        <f>IFERROR(I21/F21*90,0)</f>
        <v/>
      </c>
      <c r="V21" s="13">
        <f>T21+U21</f>
        <v/>
      </c>
      <c r="W21" s="13">
        <f>IFERROR((H21*5+I21*3+J21*0+K21*0)/F21,0)</f>
        <v/>
      </c>
      <c r="X21" s="13">
        <f>IFERROR((2*(P21/90))+(T21/90*5)+(U21/90*3)+(O21/F21*2)+(W21*0.5),0)</f>
        <v/>
      </c>
      <c r="Y21" s="13">
        <f>IF(X21="","",X21*S21*(P21/90))</f>
        <v/>
      </c>
      <c r="Z21" s="14">
        <f>IFERROR(Y21/D21,0)</f>
        <v/>
      </c>
      <c r="AA21" s="15">
        <f>IF(P21="","",MAX(0,1-P21/90))</f>
        <v/>
      </c>
      <c r="AB21" s="13">
        <f>IFERROR(Y21*(1+0.20*W21+0.15*Z21)*(1-AA21*0.75),0)</f>
        <v/>
      </c>
      <c r="AC21" s="13">
        <f>IFERROR((T21+U21)*S21*(P21/90)*(1+0.25*(3-R21)),0)</f>
        <v/>
      </c>
      <c r="AD21" s="8" t="n"/>
    </row>
    <row r="22">
      <c r="A22" s="8" t="n"/>
      <c r="B22" s="8" t="n"/>
      <c r="C22" s="8" t="n"/>
      <c r="D22" s="9" t="n"/>
      <c r="E22" s="10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11" t="n"/>
      <c r="R22" s="12" t="n"/>
      <c r="S22" s="5">
        <f>IF(R22="","",1+(3-R22)*0.10)</f>
        <v/>
      </c>
      <c r="T22" s="13">
        <f>IFERROR(H22/F22*90,0)</f>
        <v/>
      </c>
      <c r="U22" s="13">
        <f>IFERROR(I22/F22*90,0)</f>
        <v/>
      </c>
      <c r="V22" s="13">
        <f>T22+U22</f>
        <v/>
      </c>
      <c r="W22" s="13">
        <f>IFERROR((H22*5+I22*3+J22*0+K22*0)/F22,0)</f>
        <v/>
      </c>
      <c r="X22" s="13">
        <f>IFERROR((2*(P22/90))+(T22/90*5)+(U22/90*3)+(O22/F22*2)+(W22*0.5),0)</f>
        <v/>
      </c>
      <c r="Y22" s="13">
        <f>IF(X22="","",X22*S22*(P22/90))</f>
        <v/>
      </c>
      <c r="Z22" s="14">
        <f>IFERROR(Y22/D22,0)</f>
        <v/>
      </c>
      <c r="AA22" s="15">
        <f>IF(P22="","",MAX(0,1-P22/90))</f>
        <v/>
      </c>
      <c r="AB22" s="13">
        <f>IFERROR(Y22*(1+0.20*W22+0.15*Z22)*(1-AA22*0.75),0)</f>
        <v/>
      </c>
      <c r="AC22" s="13">
        <f>IFERROR((T22+U22)*S22*(P22/90)*(1+0.25*(3-R22)),0)</f>
        <v/>
      </c>
      <c r="AD22" s="8" t="n"/>
    </row>
    <row r="23">
      <c r="A23" s="8" t="n"/>
      <c r="B23" s="8" t="n"/>
      <c r="C23" s="8" t="n"/>
      <c r="D23" s="9" t="n"/>
      <c r="E23" s="10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11" t="n"/>
      <c r="R23" s="12" t="n"/>
      <c r="S23" s="5">
        <f>IF(R23="","",1+(3-R23)*0.10)</f>
        <v/>
      </c>
      <c r="T23" s="13">
        <f>IFERROR(H23/F23*90,0)</f>
        <v/>
      </c>
      <c r="U23" s="13">
        <f>IFERROR(I23/F23*90,0)</f>
        <v/>
      </c>
      <c r="V23" s="13">
        <f>T23+U23</f>
        <v/>
      </c>
      <c r="W23" s="13">
        <f>IFERROR((H23*5+I23*3+J23*0+K23*0)/F23,0)</f>
        <v/>
      </c>
      <c r="X23" s="13">
        <f>IFERROR((2*(P23/90))+(T23/90*5)+(U23/90*3)+(O23/F23*2)+(W23*0.5),0)</f>
        <v/>
      </c>
      <c r="Y23" s="13">
        <f>IF(X23="","",X23*S23*(P23/90))</f>
        <v/>
      </c>
      <c r="Z23" s="14">
        <f>IFERROR(Y23/D23,0)</f>
        <v/>
      </c>
      <c r="AA23" s="15">
        <f>IF(P23="","",MAX(0,1-P23/90))</f>
        <v/>
      </c>
      <c r="AB23" s="13">
        <f>IFERROR(Y23*(1+0.20*W23+0.15*Z23)*(1-AA23*0.75),0)</f>
        <v/>
      </c>
      <c r="AC23" s="13">
        <f>IFERROR((T23+U23)*S23*(P23/90)*(1+0.25*(3-R23)),0)</f>
        <v/>
      </c>
      <c r="AD23" s="8" t="n"/>
    </row>
    <row r="24">
      <c r="A24" s="8" t="n"/>
      <c r="B24" s="8" t="n"/>
      <c r="C24" s="8" t="n"/>
      <c r="D24" s="9" t="n"/>
      <c r="E24" s="10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11" t="n"/>
      <c r="R24" s="12" t="n"/>
      <c r="S24" s="5">
        <f>IF(R24="","",1+(3-R24)*0.10)</f>
        <v/>
      </c>
      <c r="T24" s="13">
        <f>IFERROR(H24/F24*90,0)</f>
        <v/>
      </c>
      <c r="U24" s="13">
        <f>IFERROR(I24/F24*90,0)</f>
        <v/>
      </c>
      <c r="V24" s="13">
        <f>T24+U24</f>
        <v/>
      </c>
      <c r="W24" s="13">
        <f>IFERROR((H24*5+I24*3+J24*0+K24*0)/F24,0)</f>
        <v/>
      </c>
      <c r="X24" s="13">
        <f>IFERROR((2*(P24/90))+(T24/90*5)+(U24/90*3)+(O24/F24*2)+(W24*0.5),0)</f>
        <v/>
      </c>
      <c r="Y24" s="13">
        <f>IF(X24="","",X24*S24*(P24/90))</f>
        <v/>
      </c>
      <c r="Z24" s="14">
        <f>IFERROR(Y24/D24,0)</f>
        <v/>
      </c>
      <c r="AA24" s="15">
        <f>IF(P24="","",MAX(0,1-P24/90))</f>
        <v/>
      </c>
      <c r="AB24" s="13">
        <f>IFERROR(Y24*(1+0.20*W24+0.15*Z24)*(1-AA24*0.75),0)</f>
        <v/>
      </c>
      <c r="AC24" s="13">
        <f>IFERROR((T24+U24)*S24*(P24/90)*(1+0.25*(3-R24)),0)</f>
        <v/>
      </c>
      <c r="AD24" s="8" t="n"/>
    </row>
    <row r="25">
      <c r="A25" s="8" t="n"/>
      <c r="B25" s="8" t="n"/>
      <c r="C25" s="8" t="n"/>
      <c r="D25" s="9" t="n"/>
      <c r="E25" s="10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11" t="n"/>
      <c r="R25" s="12" t="n"/>
      <c r="S25" s="5">
        <f>IF(R25="","",1+(3-R25)*0.10)</f>
        <v/>
      </c>
      <c r="T25" s="13">
        <f>IFERROR(H25/F25*90,0)</f>
        <v/>
      </c>
      <c r="U25" s="13">
        <f>IFERROR(I25/F25*90,0)</f>
        <v/>
      </c>
      <c r="V25" s="13">
        <f>T25+U25</f>
        <v/>
      </c>
      <c r="W25" s="13">
        <f>IFERROR((H25*5+I25*3+J25*0+K25*0)/F25,0)</f>
        <v/>
      </c>
      <c r="X25" s="13">
        <f>IFERROR((2*(P25/90))+(T25/90*5)+(U25/90*3)+(O25/F25*2)+(W25*0.5),0)</f>
        <v/>
      </c>
      <c r="Y25" s="13">
        <f>IF(X25="","",X25*S25*(P25/90))</f>
        <v/>
      </c>
      <c r="Z25" s="14">
        <f>IFERROR(Y25/D25,0)</f>
        <v/>
      </c>
      <c r="AA25" s="15">
        <f>IF(P25="","",MAX(0,1-P25/90))</f>
        <v/>
      </c>
      <c r="AB25" s="13">
        <f>IFERROR(Y25*(1+0.20*W25+0.15*Z25)*(1-AA25*0.75),0)</f>
        <v/>
      </c>
      <c r="AC25" s="13">
        <f>IFERROR((T25+U25)*S25*(P25/90)*(1+0.25*(3-R25)),0)</f>
        <v/>
      </c>
      <c r="AD25" s="8" t="n"/>
    </row>
    <row r="26">
      <c r="A26" s="8" t="n"/>
      <c r="B26" s="8" t="n"/>
      <c r="C26" s="8" t="n"/>
      <c r="D26" s="9" t="n"/>
      <c r="E26" s="10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11" t="n"/>
      <c r="R26" s="12" t="n"/>
      <c r="S26" s="5">
        <f>IF(R26="","",1+(3-R26)*0.10)</f>
        <v/>
      </c>
      <c r="T26" s="13">
        <f>IFERROR(H26/F26*90,0)</f>
        <v/>
      </c>
      <c r="U26" s="13">
        <f>IFERROR(I26/F26*90,0)</f>
        <v/>
      </c>
      <c r="V26" s="13">
        <f>T26+U26</f>
        <v/>
      </c>
      <c r="W26" s="13">
        <f>IFERROR((H26*5+I26*3+J26*0+K26*0)/F26,0)</f>
        <v/>
      </c>
      <c r="X26" s="13">
        <f>IFERROR((2*(P26/90))+(T26/90*5)+(U26/90*3)+(O26/F26*2)+(W26*0.5),0)</f>
        <v/>
      </c>
      <c r="Y26" s="13">
        <f>IF(X26="","",X26*S26*(P26/90))</f>
        <v/>
      </c>
      <c r="Z26" s="14">
        <f>IFERROR(Y26/D26,0)</f>
        <v/>
      </c>
      <c r="AA26" s="15">
        <f>IF(P26="","",MAX(0,1-P26/90))</f>
        <v/>
      </c>
      <c r="AB26" s="13">
        <f>IFERROR(Y26*(1+0.20*W26+0.15*Z26)*(1-AA26*0.75),0)</f>
        <v/>
      </c>
      <c r="AC26" s="13">
        <f>IFERROR((T26+U26)*S26*(P26/90)*(1+0.25*(3-R26)),0)</f>
        <v/>
      </c>
      <c r="AD26" s="8" t="n"/>
    </row>
    <row r="27">
      <c r="A27" s="8" t="n"/>
      <c r="B27" s="8" t="n"/>
      <c r="C27" s="8" t="n"/>
      <c r="D27" s="9" t="n"/>
      <c r="E27" s="10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11" t="n"/>
      <c r="R27" s="12" t="n"/>
      <c r="S27" s="5">
        <f>IF(R27="","",1+(3-R27)*0.10)</f>
        <v/>
      </c>
      <c r="T27" s="13">
        <f>IFERROR(H27/F27*90,0)</f>
        <v/>
      </c>
      <c r="U27" s="13">
        <f>IFERROR(I27/F27*90,0)</f>
        <v/>
      </c>
      <c r="V27" s="13">
        <f>T27+U27</f>
        <v/>
      </c>
      <c r="W27" s="13">
        <f>IFERROR((H27*5+I27*3+J27*0+K27*0)/F27,0)</f>
        <v/>
      </c>
      <c r="X27" s="13">
        <f>IFERROR((2*(P27/90))+(T27/90*5)+(U27/90*3)+(O27/F27*2)+(W27*0.5),0)</f>
        <v/>
      </c>
      <c r="Y27" s="13">
        <f>IF(X27="","",X27*S27*(P27/90))</f>
        <v/>
      </c>
      <c r="Z27" s="14">
        <f>IFERROR(Y27/D27,0)</f>
        <v/>
      </c>
      <c r="AA27" s="15">
        <f>IF(P27="","",MAX(0,1-P27/90))</f>
        <v/>
      </c>
      <c r="AB27" s="13">
        <f>IFERROR(Y27*(1+0.20*W27+0.15*Z27)*(1-AA27*0.75),0)</f>
        <v/>
      </c>
      <c r="AC27" s="13">
        <f>IFERROR((T27+U27)*S27*(P27/90)*(1+0.25*(3-R27)),0)</f>
        <v/>
      </c>
      <c r="AD27" s="8" t="n"/>
    </row>
    <row r="28">
      <c r="A28" s="8" t="n"/>
      <c r="B28" s="8" t="n"/>
      <c r="C28" s="8" t="n"/>
      <c r="D28" s="9" t="n"/>
      <c r="E28" s="10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11" t="n"/>
      <c r="R28" s="12" t="n"/>
      <c r="S28" s="5">
        <f>IF(R28="","",1+(3-R28)*0.10)</f>
        <v/>
      </c>
      <c r="T28" s="13">
        <f>IFERROR(H28/F28*90,0)</f>
        <v/>
      </c>
      <c r="U28" s="13">
        <f>IFERROR(I28/F28*90,0)</f>
        <v/>
      </c>
      <c r="V28" s="13">
        <f>T28+U28</f>
        <v/>
      </c>
      <c r="W28" s="13">
        <f>IFERROR((H28*5+I28*3+J28*0+K28*0)/F28,0)</f>
        <v/>
      </c>
      <c r="X28" s="13">
        <f>IFERROR((2*(P28/90))+(T28/90*5)+(U28/90*3)+(O28/F28*2)+(W28*0.5),0)</f>
        <v/>
      </c>
      <c r="Y28" s="13">
        <f>IF(X28="","",X28*S28*(P28/90))</f>
        <v/>
      </c>
      <c r="Z28" s="14">
        <f>IFERROR(Y28/D28,0)</f>
        <v/>
      </c>
      <c r="AA28" s="15">
        <f>IF(P28="","",MAX(0,1-P28/90))</f>
        <v/>
      </c>
      <c r="AB28" s="13">
        <f>IFERROR(Y28*(1+0.20*W28+0.15*Z28)*(1-AA28*0.75),0)</f>
        <v/>
      </c>
      <c r="AC28" s="13">
        <f>IFERROR((T28+U28)*S28*(P28/90)*(1+0.25*(3-R28)),0)</f>
        <v/>
      </c>
      <c r="AD28" s="8" t="n"/>
    </row>
    <row r="29">
      <c r="A29" s="8" t="n"/>
      <c r="B29" s="8" t="n"/>
      <c r="C29" s="8" t="n"/>
      <c r="D29" s="9" t="n"/>
      <c r="E29" s="10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11" t="n"/>
      <c r="R29" s="12" t="n"/>
      <c r="S29" s="5">
        <f>IF(R29="","",1+(3-R29)*0.10)</f>
        <v/>
      </c>
      <c r="T29" s="13">
        <f>IFERROR(H29/F29*90,0)</f>
        <v/>
      </c>
      <c r="U29" s="13">
        <f>IFERROR(I29/F29*90,0)</f>
        <v/>
      </c>
      <c r="V29" s="13">
        <f>T29+U29</f>
        <v/>
      </c>
      <c r="W29" s="13">
        <f>IFERROR((H29*5+I29*3+J29*0+K29*0)/F29,0)</f>
        <v/>
      </c>
      <c r="X29" s="13">
        <f>IFERROR((2*(P29/90))+(T29/90*5)+(U29/90*3)+(O29/F29*2)+(W29*0.5),0)</f>
        <v/>
      </c>
      <c r="Y29" s="13">
        <f>IF(X29="","",X29*S29*(P29/90))</f>
        <v/>
      </c>
      <c r="Z29" s="14">
        <f>IFERROR(Y29/D29,0)</f>
        <v/>
      </c>
      <c r="AA29" s="15">
        <f>IF(P29="","",MAX(0,1-P29/90))</f>
        <v/>
      </c>
      <c r="AB29" s="13">
        <f>IFERROR(Y29*(1+0.20*W29+0.15*Z29)*(1-AA29*0.75),0)</f>
        <v/>
      </c>
      <c r="AC29" s="13">
        <f>IFERROR((T29+U29)*S29*(P29/90)*(1+0.25*(3-R29)),0)</f>
        <v/>
      </c>
      <c r="AD29" s="8" t="n"/>
    </row>
    <row r="30">
      <c r="A30" s="8" t="n"/>
      <c r="B30" s="8" t="n"/>
      <c r="C30" s="8" t="n"/>
      <c r="D30" s="9" t="n"/>
      <c r="E30" s="10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11" t="n"/>
      <c r="R30" s="12" t="n"/>
      <c r="S30" s="5">
        <f>IF(R30="","",1+(3-R30)*0.10)</f>
        <v/>
      </c>
      <c r="T30" s="13">
        <f>IFERROR(H30/F30*90,0)</f>
        <v/>
      </c>
      <c r="U30" s="13">
        <f>IFERROR(I30/F30*90,0)</f>
        <v/>
      </c>
      <c r="V30" s="13">
        <f>T30+U30</f>
        <v/>
      </c>
      <c r="W30" s="13">
        <f>IFERROR((H30*5+I30*3+J30*0+K30*0)/F30,0)</f>
        <v/>
      </c>
      <c r="X30" s="13">
        <f>IFERROR((2*(P30/90))+(T30/90*5)+(U30/90*3)+(O30/F30*2)+(W30*0.5),0)</f>
        <v/>
      </c>
      <c r="Y30" s="13">
        <f>IF(X30="","",X30*S30*(P30/90))</f>
        <v/>
      </c>
      <c r="Z30" s="14">
        <f>IFERROR(Y30/D30,0)</f>
        <v/>
      </c>
      <c r="AA30" s="15">
        <f>IF(P30="","",MAX(0,1-P30/90))</f>
        <v/>
      </c>
      <c r="AB30" s="13">
        <f>IFERROR(Y30*(1+0.20*W30+0.15*Z30)*(1-AA30*0.75),0)</f>
        <v/>
      </c>
      <c r="AC30" s="13">
        <f>IFERROR((T30+U30)*S30*(P30/90)*(1+0.25*(3-R30)),0)</f>
        <v/>
      </c>
      <c r="AD30" s="8" t="n"/>
    </row>
    <row r="31">
      <c r="A31" s="8" t="n"/>
      <c r="B31" s="8" t="n"/>
      <c r="C31" s="8" t="n"/>
      <c r="D31" s="9" t="n"/>
      <c r="E31" s="10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11" t="n"/>
      <c r="R31" s="12" t="n"/>
      <c r="S31" s="5">
        <f>IF(R31="","",1+(3-R31)*0.10)</f>
        <v/>
      </c>
      <c r="T31" s="13">
        <f>IFERROR(H31/F31*90,0)</f>
        <v/>
      </c>
      <c r="U31" s="13">
        <f>IFERROR(I31/F31*90,0)</f>
        <v/>
      </c>
      <c r="V31" s="13">
        <f>T31+U31</f>
        <v/>
      </c>
      <c r="W31" s="13">
        <f>IFERROR((H31*5+I31*3+J31*0+K31*0)/F31,0)</f>
        <v/>
      </c>
      <c r="X31" s="13">
        <f>IFERROR((2*(P31/90))+(T31/90*5)+(U31/90*3)+(O31/F31*2)+(W31*0.5),0)</f>
        <v/>
      </c>
      <c r="Y31" s="13">
        <f>IF(X31="","",X31*S31*(P31/90))</f>
        <v/>
      </c>
      <c r="Z31" s="14">
        <f>IFERROR(Y31/D31,0)</f>
        <v/>
      </c>
      <c r="AA31" s="15">
        <f>IF(P31="","",MAX(0,1-P31/90))</f>
        <v/>
      </c>
      <c r="AB31" s="13">
        <f>IFERROR(Y31*(1+0.20*W31+0.15*Z31)*(1-AA31*0.75),0)</f>
        <v/>
      </c>
      <c r="AC31" s="13">
        <f>IFERROR((T31+U31)*S31*(P31/90)*(1+0.25*(3-R31)),0)</f>
        <v/>
      </c>
      <c r="AD31" s="8" t="n"/>
    </row>
    <row r="32">
      <c r="A32" s="8" t="n"/>
      <c r="B32" s="8" t="n"/>
      <c r="C32" s="8" t="n"/>
      <c r="D32" s="9" t="n"/>
      <c r="E32" s="10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11" t="n"/>
      <c r="R32" s="12" t="n"/>
      <c r="S32" s="5">
        <f>IF(R32="","",1+(3-R32)*0.10)</f>
        <v/>
      </c>
      <c r="T32" s="13">
        <f>IFERROR(H32/F32*90,0)</f>
        <v/>
      </c>
      <c r="U32" s="13">
        <f>IFERROR(I32/F32*90,0)</f>
        <v/>
      </c>
      <c r="V32" s="13">
        <f>T32+U32</f>
        <v/>
      </c>
      <c r="W32" s="13">
        <f>IFERROR((H32*5+I32*3+J32*0+K32*0)/F32,0)</f>
        <v/>
      </c>
      <c r="X32" s="13">
        <f>IFERROR((2*(P32/90))+(T32/90*5)+(U32/90*3)+(O32/F32*2)+(W32*0.5),0)</f>
        <v/>
      </c>
      <c r="Y32" s="13">
        <f>IF(X32="","",X32*S32*(P32/90))</f>
        <v/>
      </c>
      <c r="Z32" s="14">
        <f>IFERROR(Y32/D32,0)</f>
        <v/>
      </c>
      <c r="AA32" s="15">
        <f>IF(P32="","",MAX(0,1-P32/90))</f>
        <v/>
      </c>
      <c r="AB32" s="13">
        <f>IFERROR(Y32*(1+0.20*W32+0.15*Z32)*(1-AA32*0.75),0)</f>
        <v/>
      </c>
      <c r="AC32" s="13">
        <f>IFERROR((T32+U32)*S32*(P32/90)*(1+0.25*(3-R32)),0)</f>
        <v/>
      </c>
      <c r="AD32" s="8" t="n"/>
    </row>
    <row r="33">
      <c r="A33" s="8" t="n"/>
      <c r="B33" s="8" t="n"/>
      <c r="C33" s="8" t="n"/>
      <c r="D33" s="9" t="n"/>
      <c r="E33" s="10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11" t="n"/>
      <c r="R33" s="12" t="n"/>
      <c r="S33" s="5">
        <f>IF(R33="","",1+(3-R33)*0.10)</f>
        <v/>
      </c>
      <c r="T33" s="13">
        <f>IFERROR(H33/F33*90,0)</f>
        <v/>
      </c>
      <c r="U33" s="13">
        <f>IFERROR(I33/F33*90,0)</f>
        <v/>
      </c>
      <c r="V33" s="13">
        <f>T33+U33</f>
        <v/>
      </c>
      <c r="W33" s="13">
        <f>IFERROR((H33*5+I33*3+J33*0+K33*0)/F33,0)</f>
        <v/>
      </c>
      <c r="X33" s="13">
        <f>IFERROR((2*(P33/90))+(T33/90*5)+(U33/90*3)+(O33/F33*2)+(W33*0.5),0)</f>
        <v/>
      </c>
      <c r="Y33" s="13">
        <f>IF(X33="","",X33*S33*(P33/90))</f>
        <v/>
      </c>
      <c r="Z33" s="14">
        <f>IFERROR(Y33/D33,0)</f>
        <v/>
      </c>
      <c r="AA33" s="15">
        <f>IF(P33="","",MAX(0,1-P33/90))</f>
        <v/>
      </c>
      <c r="AB33" s="13">
        <f>IFERROR(Y33*(1+0.20*W33+0.15*Z33)*(1-AA33*0.75),0)</f>
        <v/>
      </c>
      <c r="AC33" s="13">
        <f>IFERROR((T33+U33)*S33*(P33/90)*(1+0.25*(3-R33)),0)</f>
        <v/>
      </c>
      <c r="AD33" s="8" t="n"/>
    </row>
    <row r="34">
      <c r="A34" s="8" t="n"/>
      <c r="B34" s="8" t="n"/>
      <c r="C34" s="8" t="n"/>
      <c r="D34" s="9" t="n"/>
      <c r="E34" s="10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11" t="n"/>
      <c r="R34" s="12" t="n"/>
      <c r="S34" s="5">
        <f>IF(R34="","",1+(3-R34)*0.10)</f>
        <v/>
      </c>
      <c r="T34" s="13">
        <f>IFERROR(H34/F34*90,0)</f>
        <v/>
      </c>
      <c r="U34" s="13">
        <f>IFERROR(I34/F34*90,0)</f>
        <v/>
      </c>
      <c r="V34" s="13">
        <f>T34+U34</f>
        <v/>
      </c>
      <c r="W34" s="13">
        <f>IFERROR((H34*5+I34*3+J34*0+K34*0)/F34,0)</f>
        <v/>
      </c>
      <c r="X34" s="13">
        <f>IFERROR((2*(P34/90))+(T34/90*5)+(U34/90*3)+(O34/F34*2)+(W34*0.5),0)</f>
        <v/>
      </c>
      <c r="Y34" s="13">
        <f>IF(X34="","",X34*S34*(P34/90))</f>
        <v/>
      </c>
      <c r="Z34" s="14">
        <f>IFERROR(Y34/D34,0)</f>
        <v/>
      </c>
      <c r="AA34" s="15">
        <f>IF(P34="","",MAX(0,1-P34/90))</f>
        <v/>
      </c>
      <c r="AB34" s="13">
        <f>IFERROR(Y34*(1+0.20*W34+0.15*Z34)*(1-AA34*0.75),0)</f>
        <v/>
      </c>
      <c r="AC34" s="13">
        <f>IFERROR((T34+U34)*S34*(P34/90)*(1+0.25*(3-R34)),0)</f>
        <v/>
      </c>
      <c r="AD34" s="8" t="n"/>
    </row>
    <row r="35">
      <c r="A35" s="8" t="n"/>
      <c r="B35" s="8" t="n"/>
      <c r="C35" s="8" t="n"/>
      <c r="D35" s="9" t="n"/>
      <c r="E35" s="10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11" t="n"/>
      <c r="R35" s="12" t="n"/>
      <c r="S35" s="5">
        <f>IF(R35="","",1+(3-R35)*0.10)</f>
        <v/>
      </c>
      <c r="T35" s="13">
        <f>IFERROR(H35/F35*90,0)</f>
        <v/>
      </c>
      <c r="U35" s="13">
        <f>IFERROR(I35/F35*90,0)</f>
        <v/>
      </c>
      <c r="V35" s="13">
        <f>T35+U35</f>
        <v/>
      </c>
      <c r="W35" s="13">
        <f>IFERROR((H35*5+I35*3+J35*0+K35*0)/F35,0)</f>
        <v/>
      </c>
      <c r="X35" s="13">
        <f>IFERROR((2*(P35/90))+(T35/90*5)+(U35/90*3)+(O35/F35*2)+(W35*0.5),0)</f>
        <v/>
      </c>
      <c r="Y35" s="13">
        <f>IF(X35="","",X35*S35*(P35/90))</f>
        <v/>
      </c>
      <c r="Z35" s="14">
        <f>IFERROR(Y35/D35,0)</f>
        <v/>
      </c>
      <c r="AA35" s="15">
        <f>IF(P35="","",MAX(0,1-P35/90))</f>
        <v/>
      </c>
      <c r="AB35" s="13">
        <f>IFERROR(Y35*(1+0.20*W35+0.15*Z35)*(1-AA35*0.75),0)</f>
        <v/>
      </c>
      <c r="AC35" s="13">
        <f>IFERROR((T35+U35)*S35*(P35/90)*(1+0.25*(3-R35)),0)</f>
        <v/>
      </c>
      <c r="AD35" s="8" t="n"/>
    </row>
    <row r="36">
      <c r="A36" s="8" t="n"/>
      <c r="B36" s="8" t="n"/>
      <c r="C36" s="8" t="n"/>
      <c r="D36" s="9" t="n"/>
      <c r="E36" s="10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11" t="n"/>
      <c r="R36" s="12" t="n"/>
      <c r="S36" s="5">
        <f>IF(R36="","",1+(3-R36)*0.10)</f>
        <v/>
      </c>
      <c r="T36" s="13">
        <f>IFERROR(H36/F36*90,0)</f>
        <v/>
      </c>
      <c r="U36" s="13">
        <f>IFERROR(I36/F36*90,0)</f>
        <v/>
      </c>
      <c r="V36" s="13">
        <f>T36+U36</f>
        <v/>
      </c>
      <c r="W36" s="13">
        <f>IFERROR((H36*5+I36*3+J36*0+K36*0)/F36,0)</f>
        <v/>
      </c>
      <c r="X36" s="13">
        <f>IFERROR((2*(P36/90))+(T36/90*5)+(U36/90*3)+(O36/F36*2)+(W36*0.5),0)</f>
        <v/>
      </c>
      <c r="Y36" s="13">
        <f>IF(X36="","",X36*S36*(P36/90))</f>
        <v/>
      </c>
      <c r="Z36" s="14">
        <f>IFERROR(Y36/D36,0)</f>
        <v/>
      </c>
      <c r="AA36" s="15">
        <f>IF(P36="","",MAX(0,1-P36/90))</f>
        <v/>
      </c>
      <c r="AB36" s="13">
        <f>IFERROR(Y36*(1+0.20*W36+0.15*Z36)*(1-AA36*0.75),0)</f>
        <v/>
      </c>
      <c r="AC36" s="13">
        <f>IFERROR((T36+U36)*S36*(P36/90)*(1+0.25*(3-R36)),0)</f>
        <v/>
      </c>
      <c r="AD36" s="8" t="n"/>
    </row>
    <row r="37">
      <c r="A37" s="8" t="n"/>
      <c r="B37" s="8" t="n"/>
      <c r="C37" s="8" t="n"/>
      <c r="D37" s="9" t="n"/>
      <c r="E37" s="10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11" t="n"/>
      <c r="R37" s="12" t="n"/>
      <c r="S37" s="5">
        <f>IF(R37="","",1+(3-R37)*0.10)</f>
        <v/>
      </c>
      <c r="T37" s="13">
        <f>IFERROR(H37/F37*90,0)</f>
        <v/>
      </c>
      <c r="U37" s="13">
        <f>IFERROR(I37/F37*90,0)</f>
        <v/>
      </c>
      <c r="V37" s="13">
        <f>T37+U37</f>
        <v/>
      </c>
      <c r="W37" s="13">
        <f>IFERROR((H37*5+I37*3+J37*0+K37*0)/F37,0)</f>
        <v/>
      </c>
      <c r="X37" s="13">
        <f>IFERROR((2*(P37/90))+(T37/90*5)+(U37/90*3)+(O37/F37*2)+(W37*0.5),0)</f>
        <v/>
      </c>
      <c r="Y37" s="13">
        <f>IF(X37="","",X37*S37*(P37/90))</f>
        <v/>
      </c>
      <c r="Z37" s="14">
        <f>IFERROR(Y37/D37,0)</f>
        <v/>
      </c>
      <c r="AA37" s="15">
        <f>IF(P37="","",MAX(0,1-P37/90))</f>
        <v/>
      </c>
      <c r="AB37" s="13">
        <f>IFERROR(Y37*(1+0.20*W37+0.15*Z37)*(1-AA37*0.75),0)</f>
        <v/>
      </c>
      <c r="AC37" s="13">
        <f>IFERROR((T37+U37)*S37*(P37/90)*(1+0.25*(3-R37)),0)</f>
        <v/>
      </c>
      <c r="AD37" s="8" t="n"/>
    </row>
    <row r="38">
      <c r="A38" s="8" t="n"/>
      <c r="B38" s="8" t="n"/>
      <c r="C38" s="8" t="n"/>
      <c r="D38" s="9" t="n"/>
      <c r="E38" s="10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11" t="n"/>
      <c r="R38" s="12" t="n"/>
      <c r="S38" s="5">
        <f>IF(R38="","",1+(3-R38)*0.10)</f>
        <v/>
      </c>
      <c r="T38" s="13">
        <f>IFERROR(H38/F38*90,0)</f>
        <v/>
      </c>
      <c r="U38" s="13">
        <f>IFERROR(I38/F38*90,0)</f>
        <v/>
      </c>
      <c r="V38" s="13">
        <f>T38+U38</f>
        <v/>
      </c>
      <c r="W38" s="13">
        <f>IFERROR((H38*5+I38*3+J38*0+K38*0)/F38,0)</f>
        <v/>
      </c>
      <c r="X38" s="13">
        <f>IFERROR((2*(P38/90))+(T38/90*5)+(U38/90*3)+(O38/F38*2)+(W38*0.5),0)</f>
        <v/>
      </c>
      <c r="Y38" s="13">
        <f>IF(X38="","",X38*S38*(P38/90))</f>
        <v/>
      </c>
      <c r="Z38" s="14">
        <f>IFERROR(Y38/D38,0)</f>
        <v/>
      </c>
      <c r="AA38" s="15">
        <f>IF(P38="","",MAX(0,1-P38/90))</f>
        <v/>
      </c>
      <c r="AB38" s="13">
        <f>IFERROR(Y38*(1+0.20*W38+0.15*Z38)*(1-AA38*0.75),0)</f>
        <v/>
      </c>
      <c r="AC38" s="13">
        <f>IFERROR((T38+U38)*S38*(P38/90)*(1+0.25*(3-R38)),0)</f>
        <v/>
      </c>
      <c r="AD38" s="8" t="n"/>
    </row>
    <row r="39">
      <c r="A39" s="8" t="n"/>
      <c r="B39" s="8" t="n"/>
      <c r="C39" s="8" t="n"/>
      <c r="D39" s="9" t="n"/>
      <c r="E39" s="10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11" t="n"/>
      <c r="R39" s="12" t="n"/>
      <c r="S39" s="5">
        <f>IF(R39="","",1+(3-R39)*0.10)</f>
        <v/>
      </c>
      <c r="T39" s="13">
        <f>IFERROR(H39/F39*90,0)</f>
        <v/>
      </c>
      <c r="U39" s="13">
        <f>IFERROR(I39/F39*90,0)</f>
        <v/>
      </c>
      <c r="V39" s="13">
        <f>T39+U39</f>
        <v/>
      </c>
      <c r="W39" s="13">
        <f>IFERROR((H39*5+I39*3+J39*0+K39*0)/F39,0)</f>
        <v/>
      </c>
      <c r="X39" s="13">
        <f>IFERROR((2*(P39/90))+(T39/90*5)+(U39/90*3)+(O39/F39*2)+(W39*0.5),0)</f>
        <v/>
      </c>
      <c r="Y39" s="13">
        <f>IF(X39="","",X39*S39*(P39/90))</f>
        <v/>
      </c>
      <c r="Z39" s="14">
        <f>IFERROR(Y39/D39,0)</f>
        <v/>
      </c>
      <c r="AA39" s="15">
        <f>IF(P39="","",MAX(0,1-P39/90))</f>
        <v/>
      </c>
      <c r="AB39" s="13">
        <f>IFERROR(Y39*(1+0.20*W39+0.15*Z39)*(1-AA39*0.75),0)</f>
        <v/>
      </c>
      <c r="AC39" s="13">
        <f>IFERROR((T39+U39)*S39*(P39/90)*(1+0.25*(3-R39)),0)</f>
        <v/>
      </c>
      <c r="AD39" s="8" t="n"/>
    </row>
    <row r="40">
      <c r="A40" s="8" t="n"/>
      <c r="B40" s="8" t="n"/>
      <c r="C40" s="8" t="n"/>
      <c r="D40" s="9" t="n"/>
      <c r="E40" s="10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11" t="n"/>
      <c r="R40" s="12" t="n"/>
      <c r="S40" s="5">
        <f>IF(R40="","",1+(3-R40)*0.10)</f>
        <v/>
      </c>
      <c r="T40" s="13">
        <f>IFERROR(H40/F40*90,0)</f>
        <v/>
      </c>
      <c r="U40" s="13">
        <f>IFERROR(I40/F40*90,0)</f>
        <v/>
      </c>
      <c r="V40" s="13">
        <f>T40+U40</f>
        <v/>
      </c>
      <c r="W40" s="13">
        <f>IFERROR((H40*5+I40*3+J40*0+K40*0)/F40,0)</f>
        <v/>
      </c>
      <c r="X40" s="13">
        <f>IFERROR((2*(P40/90))+(T40/90*5)+(U40/90*3)+(O40/F40*2)+(W40*0.5),0)</f>
        <v/>
      </c>
      <c r="Y40" s="13">
        <f>IF(X40="","",X40*S40*(P40/90))</f>
        <v/>
      </c>
      <c r="Z40" s="14">
        <f>IFERROR(Y40/D40,0)</f>
        <v/>
      </c>
      <c r="AA40" s="15">
        <f>IF(P40="","",MAX(0,1-P40/90))</f>
        <v/>
      </c>
      <c r="AB40" s="13">
        <f>IFERROR(Y40*(1+0.20*W40+0.15*Z40)*(1-AA40*0.75),0)</f>
        <v/>
      </c>
      <c r="AC40" s="13">
        <f>IFERROR((T40+U40)*S40*(P40/90)*(1+0.25*(3-R40)),0)</f>
        <v/>
      </c>
      <c r="AD40" s="8" t="n"/>
    </row>
    <row r="41">
      <c r="A41" s="8" t="n"/>
      <c r="B41" s="8" t="n"/>
      <c r="C41" s="8" t="n"/>
      <c r="D41" s="9" t="n"/>
      <c r="E41" s="10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11" t="n"/>
      <c r="R41" s="12" t="n"/>
      <c r="S41" s="5">
        <f>IF(R41="","",1+(3-R41)*0.10)</f>
        <v/>
      </c>
      <c r="T41" s="13">
        <f>IFERROR(H41/F41*90,0)</f>
        <v/>
      </c>
      <c r="U41" s="13">
        <f>IFERROR(I41/F41*90,0)</f>
        <v/>
      </c>
      <c r="V41" s="13">
        <f>T41+U41</f>
        <v/>
      </c>
      <c r="W41" s="13">
        <f>IFERROR((H41*5+I41*3+J41*0+K41*0)/F41,0)</f>
        <v/>
      </c>
      <c r="X41" s="13">
        <f>IFERROR((2*(P41/90))+(T41/90*5)+(U41/90*3)+(O41/F41*2)+(W41*0.5),0)</f>
        <v/>
      </c>
      <c r="Y41" s="13">
        <f>IF(X41="","",X41*S41*(P41/90))</f>
        <v/>
      </c>
      <c r="Z41" s="14">
        <f>IFERROR(Y41/D41,0)</f>
        <v/>
      </c>
      <c r="AA41" s="15">
        <f>IF(P41="","",MAX(0,1-P41/90))</f>
        <v/>
      </c>
      <c r="AB41" s="13">
        <f>IFERROR(Y41*(1+0.20*W41+0.15*Z41)*(1-AA41*0.75),0)</f>
        <v/>
      </c>
      <c r="AC41" s="13">
        <f>IFERROR((T41+U41)*S41*(P41/90)*(1+0.25*(3-R41)),0)</f>
        <v/>
      </c>
      <c r="AD41" s="8" t="n"/>
    </row>
    <row r="42">
      <c r="A42" s="8" t="n"/>
      <c r="B42" s="8" t="n"/>
      <c r="C42" s="8" t="n"/>
      <c r="D42" s="9" t="n"/>
      <c r="E42" s="10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11" t="n"/>
      <c r="R42" s="12" t="n"/>
      <c r="S42" s="5">
        <f>IF(R42="","",1+(3-R42)*0.10)</f>
        <v/>
      </c>
      <c r="T42" s="13">
        <f>IFERROR(H42/F42*90,0)</f>
        <v/>
      </c>
      <c r="U42" s="13">
        <f>IFERROR(I42/F42*90,0)</f>
        <v/>
      </c>
      <c r="V42" s="13">
        <f>T42+U42</f>
        <v/>
      </c>
      <c r="W42" s="13">
        <f>IFERROR((H42*5+I42*3+J42*0+K42*0)/F42,0)</f>
        <v/>
      </c>
      <c r="X42" s="13">
        <f>IFERROR((2*(P42/90))+(T42/90*5)+(U42/90*3)+(O42/F42*2)+(W42*0.5),0)</f>
        <v/>
      </c>
      <c r="Y42" s="13">
        <f>IF(X42="","",X42*S42*(P42/90))</f>
        <v/>
      </c>
      <c r="Z42" s="14">
        <f>IFERROR(Y42/D42,0)</f>
        <v/>
      </c>
      <c r="AA42" s="15">
        <f>IF(P42="","",MAX(0,1-P42/90))</f>
        <v/>
      </c>
      <c r="AB42" s="13">
        <f>IFERROR(Y42*(1+0.20*W42+0.15*Z42)*(1-AA42*0.75),0)</f>
        <v/>
      </c>
      <c r="AC42" s="13">
        <f>IFERROR((T42+U42)*S42*(P42/90)*(1+0.25*(3-R42)),0)</f>
        <v/>
      </c>
      <c r="AD42" s="8" t="n"/>
    </row>
    <row r="43">
      <c r="A43" s="8" t="n"/>
      <c r="B43" s="8" t="n"/>
      <c r="C43" s="8" t="n"/>
      <c r="D43" s="9" t="n"/>
      <c r="E43" s="10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11" t="n"/>
      <c r="R43" s="12" t="n"/>
      <c r="S43" s="5">
        <f>IF(R43="","",1+(3-R43)*0.10)</f>
        <v/>
      </c>
      <c r="T43" s="13">
        <f>IFERROR(H43/F43*90,0)</f>
        <v/>
      </c>
      <c r="U43" s="13">
        <f>IFERROR(I43/F43*90,0)</f>
        <v/>
      </c>
      <c r="V43" s="13">
        <f>T43+U43</f>
        <v/>
      </c>
      <c r="W43" s="13">
        <f>IFERROR((H43*5+I43*3+J43*0+K43*0)/F43,0)</f>
        <v/>
      </c>
      <c r="X43" s="13">
        <f>IFERROR((2*(P43/90))+(T43/90*5)+(U43/90*3)+(O43/F43*2)+(W43*0.5),0)</f>
        <v/>
      </c>
      <c r="Y43" s="13">
        <f>IF(X43="","",X43*S43*(P43/90))</f>
        <v/>
      </c>
      <c r="Z43" s="14">
        <f>IFERROR(Y43/D43,0)</f>
        <v/>
      </c>
      <c r="AA43" s="15">
        <f>IF(P43="","",MAX(0,1-P43/90))</f>
        <v/>
      </c>
      <c r="AB43" s="13">
        <f>IFERROR(Y43*(1+0.20*W43+0.15*Z43)*(1-AA43*0.75),0)</f>
        <v/>
      </c>
      <c r="AC43" s="13">
        <f>IFERROR((T43+U43)*S43*(P43/90)*(1+0.25*(3-R43)),0)</f>
        <v/>
      </c>
      <c r="AD43" s="8" t="n"/>
    </row>
    <row r="44">
      <c r="A44" s="8" t="n"/>
      <c r="B44" s="8" t="n"/>
      <c r="C44" s="8" t="n"/>
      <c r="D44" s="9" t="n"/>
      <c r="E44" s="10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11" t="n"/>
      <c r="R44" s="12" t="n"/>
      <c r="S44" s="5">
        <f>IF(R44="","",1+(3-R44)*0.10)</f>
        <v/>
      </c>
      <c r="T44" s="13">
        <f>IFERROR(H44/F44*90,0)</f>
        <v/>
      </c>
      <c r="U44" s="13">
        <f>IFERROR(I44/F44*90,0)</f>
        <v/>
      </c>
      <c r="V44" s="13">
        <f>T44+U44</f>
        <v/>
      </c>
      <c r="W44" s="13">
        <f>IFERROR((H44*5+I44*3+J44*0+K44*0)/F44,0)</f>
        <v/>
      </c>
      <c r="X44" s="13">
        <f>IFERROR((2*(P44/90))+(T44/90*5)+(U44/90*3)+(O44/F44*2)+(W44*0.5),0)</f>
        <v/>
      </c>
      <c r="Y44" s="13">
        <f>IF(X44="","",X44*S44*(P44/90))</f>
        <v/>
      </c>
      <c r="Z44" s="14">
        <f>IFERROR(Y44/D44,0)</f>
        <v/>
      </c>
      <c r="AA44" s="15">
        <f>IF(P44="","",MAX(0,1-P44/90))</f>
        <v/>
      </c>
      <c r="AB44" s="13">
        <f>IFERROR(Y44*(1+0.20*W44+0.15*Z44)*(1-AA44*0.75),0)</f>
        <v/>
      </c>
      <c r="AC44" s="13">
        <f>IFERROR((T44+U44)*S44*(P44/90)*(1+0.25*(3-R44)),0)</f>
        <v/>
      </c>
      <c r="AD44" s="8" t="n"/>
    </row>
    <row r="45">
      <c r="A45" s="8" t="n"/>
      <c r="B45" s="8" t="n"/>
      <c r="C45" s="8" t="n"/>
      <c r="D45" s="9" t="n"/>
      <c r="E45" s="10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11" t="n"/>
      <c r="R45" s="12" t="n"/>
      <c r="S45" s="5">
        <f>IF(R45="","",1+(3-R45)*0.10)</f>
        <v/>
      </c>
      <c r="T45" s="13">
        <f>IFERROR(H45/F45*90,0)</f>
        <v/>
      </c>
      <c r="U45" s="13">
        <f>IFERROR(I45/F45*90,0)</f>
        <v/>
      </c>
      <c r="V45" s="13">
        <f>T45+U45</f>
        <v/>
      </c>
      <c r="W45" s="13">
        <f>IFERROR((H45*5+I45*3+J45*0+K45*0)/F45,0)</f>
        <v/>
      </c>
      <c r="X45" s="13">
        <f>IFERROR((2*(P45/90))+(T45/90*5)+(U45/90*3)+(O45/F45*2)+(W45*0.5),0)</f>
        <v/>
      </c>
      <c r="Y45" s="13">
        <f>IF(X45="","",X45*S45*(P45/90))</f>
        <v/>
      </c>
      <c r="Z45" s="14">
        <f>IFERROR(Y45/D45,0)</f>
        <v/>
      </c>
      <c r="AA45" s="15">
        <f>IF(P45="","",MAX(0,1-P45/90))</f>
        <v/>
      </c>
      <c r="AB45" s="13">
        <f>IFERROR(Y45*(1+0.20*W45+0.15*Z45)*(1-AA45*0.75),0)</f>
        <v/>
      </c>
      <c r="AC45" s="13">
        <f>IFERROR((T45+U45)*S45*(P45/90)*(1+0.25*(3-R45)),0)</f>
        <v/>
      </c>
      <c r="AD45" s="8" t="n"/>
    </row>
    <row r="46">
      <c r="A46" s="8" t="n"/>
      <c r="B46" s="8" t="n"/>
      <c r="C46" s="8" t="n"/>
      <c r="D46" s="9" t="n"/>
      <c r="E46" s="10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11" t="n"/>
      <c r="R46" s="12" t="n"/>
      <c r="S46" s="5">
        <f>IF(R46="","",1+(3-R46)*0.10)</f>
        <v/>
      </c>
      <c r="T46" s="13">
        <f>IFERROR(H46/F46*90,0)</f>
        <v/>
      </c>
      <c r="U46" s="13">
        <f>IFERROR(I46/F46*90,0)</f>
        <v/>
      </c>
      <c r="V46" s="13">
        <f>T46+U46</f>
        <v/>
      </c>
      <c r="W46" s="13">
        <f>IFERROR((H46*5+I46*3+J46*0+K46*0)/F46,0)</f>
        <v/>
      </c>
      <c r="X46" s="13">
        <f>IFERROR((2*(P46/90))+(T46/90*5)+(U46/90*3)+(O46/F46*2)+(W46*0.5),0)</f>
        <v/>
      </c>
      <c r="Y46" s="13">
        <f>IF(X46="","",X46*S46*(P46/90))</f>
        <v/>
      </c>
      <c r="Z46" s="14">
        <f>IFERROR(Y46/D46,0)</f>
        <v/>
      </c>
      <c r="AA46" s="15">
        <f>IF(P46="","",MAX(0,1-P46/90))</f>
        <v/>
      </c>
      <c r="AB46" s="13">
        <f>IFERROR(Y46*(1+0.20*W46+0.15*Z46)*(1-AA46*0.75),0)</f>
        <v/>
      </c>
      <c r="AC46" s="13">
        <f>IFERROR((T46+U46)*S46*(P46/90)*(1+0.25*(3-R46)),0)</f>
        <v/>
      </c>
      <c r="AD46" s="8" t="n"/>
    </row>
    <row r="47">
      <c r="A47" s="8" t="n"/>
      <c r="B47" s="8" t="n"/>
      <c r="C47" s="8" t="n"/>
      <c r="D47" s="9" t="n"/>
      <c r="E47" s="10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11" t="n"/>
      <c r="R47" s="12" t="n"/>
      <c r="S47" s="5">
        <f>IF(R47="","",1+(3-R47)*0.10)</f>
        <v/>
      </c>
      <c r="T47" s="13">
        <f>IFERROR(H47/F47*90,0)</f>
        <v/>
      </c>
      <c r="U47" s="13">
        <f>IFERROR(I47/F47*90,0)</f>
        <v/>
      </c>
      <c r="V47" s="13">
        <f>T47+U47</f>
        <v/>
      </c>
      <c r="W47" s="13">
        <f>IFERROR((H47*5+I47*3+J47*0+K47*0)/F47,0)</f>
        <v/>
      </c>
      <c r="X47" s="13">
        <f>IFERROR((2*(P47/90))+(T47/90*5)+(U47/90*3)+(O47/F47*2)+(W47*0.5),0)</f>
        <v/>
      </c>
      <c r="Y47" s="13">
        <f>IF(X47="","",X47*S47*(P47/90))</f>
        <v/>
      </c>
      <c r="Z47" s="14">
        <f>IFERROR(Y47/D47,0)</f>
        <v/>
      </c>
      <c r="AA47" s="15">
        <f>IF(P47="","",MAX(0,1-P47/90))</f>
        <v/>
      </c>
      <c r="AB47" s="13">
        <f>IFERROR(Y47*(1+0.20*W47+0.15*Z47)*(1-AA47*0.75),0)</f>
        <v/>
      </c>
      <c r="AC47" s="13">
        <f>IFERROR((T47+U47)*S47*(P47/90)*(1+0.25*(3-R47)),0)</f>
        <v/>
      </c>
      <c r="AD47" s="8" t="n"/>
    </row>
    <row r="48">
      <c r="A48" s="8" t="n"/>
      <c r="B48" s="8" t="n"/>
      <c r="C48" s="8" t="n"/>
      <c r="D48" s="9" t="n"/>
      <c r="E48" s="10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11" t="n"/>
      <c r="R48" s="12" t="n"/>
      <c r="S48" s="5">
        <f>IF(R48="","",1+(3-R48)*0.10)</f>
        <v/>
      </c>
      <c r="T48" s="13">
        <f>IFERROR(H48/F48*90,0)</f>
        <v/>
      </c>
      <c r="U48" s="13">
        <f>IFERROR(I48/F48*90,0)</f>
        <v/>
      </c>
      <c r="V48" s="13">
        <f>T48+U48</f>
        <v/>
      </c>
      <c r="W48" s="13">
        <f>IFERROR((H48*5+I48*3+J48*0+K48*0)/F48,0)</f>
        <v/>
      </c>
      <c r="X48" s="13">
        <f>IFERROR((2*(P48/90))+(T48/90*5)+(U48/90*3)+(O48/F48*2)+(W48*0.5),0)</f>
        <v/>
      </c>
      <c r="Y48" s="13">
        <f>IF(X48="","",X48*S48*(P48/90))</f>
        <v/>
      </c>
      <c r="Z48" s="14">
        <f>IFERROR(Y48/D48,0)</f>
        <v/>
      </c>
      <c r="AA48" s="15">
        <f>IF(P48="","",MAX(0,1-P48/90))</f>
        <v/>
      </c>
      <c r="AB48" s="13">
        <f>IFERROR(Y48*(1+0.20*W48+0.15*Z48)*(1-AA48*0.75),0)</f>
        <v/>
      </c>
      <c r="AC48" s="13">
        <f>IFERROR((T48+U48)*S48*(P48/90)*(1+0.25*(3-R48)),0)</f>
        <v/>
      </c>
      <c r="AD48" s="8" t="n"/>
    </row>
    <row r="49">
      <c r="A49" s="8" t="n"/>
      <c r="B49" s="8" t="n"/>
      <c r="C49" s="8" t="n"/>
      <c r="D49" s="9" t="n"/>
      <c r="E49" s="10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11" t="n"/>
      <c r="R49" s="12" t="n"/>
      <c r="S49" s="5">
        <f>IF(R49="","",1+(3-R49)*0.10)</f>
        <v/>
      </c>
      <c r="T49" s="13">
        <f>IFERROR(H49/F49*90,0)</f>
        <v/>
      </c>
      <c r="U49" s="13">
        <f>IFERROR(I49/F49*90,0)</f>
        <v/>
      </c>
      <c r="V49" s="13">
        <f>T49+U49</f>
        <v/>
      </c>
      <c r="W49" s="13">
        <f>IFERROR((H49*5+I49*3+J49*0+K49*0)/F49,0)</f>
        <v/>
      </c>
      <c r="X49" s="13">
        <f>IFERROR((2*(P49/90))+(T49/90*5)+(U49/90*3)+(O49/F49*2)+(W49*0.5),0)</f>
        <v/>
      </c>
      <c r="Y49" s="13">
        <f>IF(X49="","",X49*S49*(P49/90))</f>
        <v/>
      </c>
      <c r="Z49" s="14">
        <f>IFERROR(Y49/D49,0)</f>
        <v/>
      </c>
      <c r="AA49" s="15">
        <f>IF(P49="","",MAX(0,1-P49/90))</f>
        <v/>
      </c>
      <c r="AB49" s="13">
        <f>IFERROR(Y49*(1+0.20*W49+0.15*Z49)*(1-AA49*0.75),0)</f>
        <v/>
      </c>
      <c r="AC49" s="13">
        <f>IFERROR((T49+U49)*S49*(P49/90)*(1+0.25*(3-R49)),0)</f>
        <v/>
      </c>
      <c r="AD49" s="8" t="n"/>
    </row>
    <row r="50">
      <c r="A50" s="8" t="n"/>
      <c r="B50" s="8" t="n"/>
      <c r="C50" s="8" t="n"/>
      <c r="D50" s="9" t="n"/>
      <c r="E50" s="10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11" t="n"/>
      <c r="R50" s="12" t="n"/>
      <c r="S50" s="5">
        <f>IF(R50="","",1+(3-R50)*0.10)</f>
        <v/>
      </c>
      <c r="T50" s="13">
        <f>IFERROR(H50/F50*90,0)</f>
        <v/>
      </c>
      <c r="U50" s="13">
        <f>IFERROR(I50/F50*90,0)</f>
        <v/>
      </c>
      <c r="V50" s="13">
        <f>T50+U50</f>
        <v/>
      </c>
      <c r="W50" s="13">
        <f>IFERROR((H50*5+I50*3+J50*0+K50*0)/F50,0)</f>
        <v/>
      </c>
      <c r="X50" s="13">
        <f>IFERROR((2*(P50/90))+(T50/90*5)+(U50/90*3)+(O50/F50*2)+(W50*0.5),0)</f>
        <v/>
      </c>
      <c r="Y50" s="13">
        <f>IF(X50="","",X50*S50*(P50/90))</f>
        <v/>
      </c>
      <c r="Z50" s="14">
        <f>IFERROR(Y50/D50,0)</f>
        <v/>
      </c>
      <c r="AA50" s="15">
        <f>IF(P50="","",MAX(0,1-P50/90))</f>
        <v/>
      </c>
      <c r="AB50" s="13">
        <f>IFERROR(Y50*(1+0.20*W50+0.15*Z50)*(1-AA50*0.75),0)</f>
        <v/>
      </c>
      <c r="AC50" s="13">
        <f>IFERROR((T50+U50)*S50*(P50/90)*(1+0.25*(3-R50)),0)</f>
        <v/>
      </c>
      <c r="AD50" s="8" t="n"/>
    </row>
    <row r="51">
      <c r="A51" s="8" t="n"/>
      <c r="B51" s="8" t="n"/>
      <c r="C51" s="8" t="n"/>
      <c r="D51" s="9" t="n"/>
      <c r="E51" s="10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11" t="n"/>
      <c r="R51" s="12" t="n"/>
      <c r="S51" s="5">
        <f>IF(R51="","",1+(3-R51)*0.10)</f>
        <v/>
      </c>
      <c r="T51" s="13">
        <f>IFERROR(H51/F51*90,0)</f>
        <v/>
      </c>
      <c r="U51" s="13">
        <f>IFERROR(I51/F51*90,0)</f>
        <v/>
      </c>
      <c r="V51" s="13">
        <f>T51+U51</f>
        <v/>
      </c>
      <c r="W51" s="13">
        <f>IFERROR((H51*5+I51*3+J51*0+K51*0)/F51,0)</f>
        <v/>
      </c>
      <c r="X51" s="13">
        <f>IFERROR((2*(P51/90))+(T51/90*5)+(U51/90*3)+(O51/F51*2)+(W51*0.5),0)</f>
        <v/>
      </c>
      <c r="Y51" s="13">
        <f>IF(X51="","",X51*S51*(P51/90))</f>
        <v/>
      </c>
      <c r="Z51" s="14">
        <f>IFERROR(Y51/D51,0)</f>
        <v/>
      </c>
      <c r="AA51" s="15">
        <f>IF(P51="","",MAX(0,1-P51/90))</f>
        <v/>
      </c>
      <c r="AB51" s="13">
        <f>IFERROR(Y51*(1+0.20*W51+0.15*Z51)*(1-AA51*0.75),0)</f>
        <v/>
      </c>
      <c r="AC51" s="13">
        <f>IFERROR((T51+U51)*S51*(P51/90)*(1+0.25*(3-R51)),0)</f>
        <v/>
      </c>
      <c r="AD51" s="8" t="n"/>
    </row>
    <row r="52">
      <c r="A52" s="8" t="n"/>
      <c r="B52" s="8" t="n"/>
      <c r="C52" s="8" t="n"/>
      <c r="D52" s="9" t="n"/>
      <c r="E52" s="10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11" t="n"/>
      <c r="R52" s="12" t="n"/>
      <c r="S52" s="5">
        <f>IF(R52="","",1+(3-R52)*0.10)</f>
        <v/>
      </c>
      <c r="T52" s="13">
        <f>IFERROR(H52/F52*90,0)</f>
        <v/>
      </c>
      <c r="U52" s="13">
        <f>IFERROR(I52/F52*90,0)</f>
        <v/>
      </c>
      <c r="V52" s="13">
        <f>T52+U52</f>
        <v/>
      </c>
      <c r="W52" s="13">
        <f>IFERROR((H52*5+I52*3+J52*0+K52*0)/F52,0)</f>
        <v/>
      </c>
      <c r="X52" s="13">
        <f>IFERROR((2*(P52/90))+(T52/90*5)+(U52/90*3)+(O52/F52*2)+(W52*0.5),0)</f>
        <v/>
      </c>
      <c r="Y52" s="13">
        <f>IF(X52="","",X52*S52*(P52/90))</f>
        <v/>
      </c>
      <c r="Z52" s="14">
        <f>IFERROR(Y52/D52,0)</f>
        <v/>
      </c>
      <c r="AA52" s="15">
        <f>IF(P52="","",MAX(0,1-P52/90))</f>
        <v/>
      </c>
      <c r="AB52" s="13">
        <f>IFERROR(Y52*(1+0.20*W52+0.15*Z52)*(1-AA52*0.75),0)</f>
        <v/>
      </c>
      <c r="AC52" s="13">
        <f>IFERROR((T52+U52)*S52*(P52/90)*(1+0.25*(3-R52)),0)</f>
        <v/>
      </c>
      <c r="AD52" s="8" t="n"/>
    </row>
    <row r="53">
      <c r="A53" s="8" t="n"/>
      <c r="B53" s="8" t="n"/>
      <c r="C53" s="8" t="n"/>
      <c r="D53" s="9" t="n"/>
      <c r="E53" s="10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11" t="n"/>
      <c r="R53" s="12" t="n"/>
      <c r="S53" s="5">
        <f>IF(R53="","",1+(3-R53)*0.10)</f>
        <v/>
      </c>
      <c r="T53" s="13">
        <f>IFERROR(H53/F53*90,0)</f>
        <v/>
      </c>
      <c r="U53" s="13">
        <f>IFERROR(I53/F53*90,0)</f>
        <v/>
      </c>
      <c r="V53" s="13">
        <f>T53+U53</f>
        <v/>
      </c>
      <c r="W53" s="13">
        <f>IFERROR((H53*5+I53*3+J53*0+K53*0)/F53,0)</f>
        <v/>
      </c>
      <c r="X53" s="13">
        <f>IFERROR((2*(P53/90))+(T53/90*5)+(U53/90*3)+(O53/F53*2)+(W53*0.5),0)</f>
        <v/>
      </c>
      <c r="Y53" s="13">
        <f>IF(X53="","",X53*S53*(P53/90))</f>
        <v/>
      </c>
      <c r="Z53" s="14">
        <f>IFERROR(Y53/D53,0)</f>
        <v/>
      </c>
      <c r="AA53" s="15">
        <f>IF(P53="","",MAX(0,1-P53/90))</f>
        <v/>
      </c>
      <c r="AB53" s="13">
        <f>IFERROR(Y53*(1+0.20*W53+0.15*Z53)*(1-AA53*0.75),0)</f>
        <v/>
      </c>
      <c r="AC53" s="13">
        <f>IFERROR((T53+U53)*S53*(P53/90)*(1+0.25*(3-R53)),0)</f>
        <v/>
      </c>
      <c r="AD53" s="8" t="n"/>
    </row>
    <row r="54">
      <c r="A54" s="8" t="n"/>
      <c r="B54" s="8" t="n"/>
      <c r="C54" s="8" t="n"/>
      <c r="D54" s="9" t="n"/>
      <c r="E54" s="10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11" t="n"/>
      <c r="R54" s="12" t="n"/>
      <c r="S54" s="5">
        <f>IF(R54="","",1+(3-R54)*0.10)</f>
        <v/>
      </c>
      <c r="T54" s="13">
        <f>IFERROR(H54/F54*90,0)</f>
        <v/>
      </c>
      <c r="U54" s="13">
        <f>IFERROR(I54/F54*90,0)</f>
        <v/>
      </c>
      <c r="V54" s="13">
        <f>T54+U54</f>
        <v/>
      </c>
      <c r="W54" s="13">
        <f>IFERROR((H54*5+I54*3+J54*0+K54*0)/F54,0)</f>
        <v/>
      </c>
      <c r="X54" s="13">
        <f>IFERROR((2*(P54/90))+(T54/90*5)+(U54/90*3)+(O54/F54*2)+(W54*0.5),0)</f>
        <v/>
      </c>
      <c r="Y54" s="13">
        <f>IF(X54="","",X54*S54*(P54/90))</f>
        <v/>
      </c>
      <c r="Z54" s="14">
        <f>IFERROR(Y54/D54,0)</f>
        <v/>
      </c>
      <c r="AA54" s="15">
        <f>IF(P54="","",MAX(0,1-P54/90))</f>
        <v/>
      </c>
      <c r="AB54" s="13">
        <f>IFERROR(Y54*(1+0.20*W54+0.15*Z54)*(1-AA54*0.75),0)</f>
        <v/>
      </c>
      <c r="AC54" s="13">
        <f>IFERROR((T54+U54)*S54*(P54/90)*(1+0.25*(3-R54)),0)</f>
        <v/>
      </c>
      <c r="AD54" s="8" t="n"/>
    </row>
    <row r="55">
      <c r="A55" s="8" t="n"/>
      <c r="B55" s="8" t="n"/>
      <c r="C55" s="8" t="n"/>
      <c r="D55" s="9" t="n"/>
      <c r="E55" s="10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11" t="n"/>
      <c r="R55" s="12" t="n"/>
      <c r="S55" s="5">
        <f>IF(R55="","",1+(3-R55)*0.10)</f>
        <v/>
      </c>
      <c r="T55" s="13">
        <f>IFERROR(H55/F55*90,0)</f>
        <v/>
      </c>
      <c r="U55" s="13">
        <f>IFERROR(I55/F55*90,0)</f>
        <v/>
      </c>
      <c r="V55" s="13">
        <f>T55+U55</f>
        <v/>
      </c>
      <c r="W55" s="13">
        <f>IFERROR((H55*5+I55*3+J55*0+K55*0)/F55,0)</f>
        <v/>
      </c>
      <c r="X55" s="13">
        <f>IFERROR((2*(P55/90))+(T55/90*5)+(U55/90*3)+(O55/F55*2)+(W55*0.5),0)</f>
        <v/>
      </c>
      <c r="Y55" s="13">
        <f>IF(X55="","",X55*S55*(P55/90))</f>
        <v/>
      </c>
      <c r="Z55" s="14">
        <f>IFERROR(Y55/D55,0)</f>
        <v/>
      </c>
      <c r="AA55" s="15">
        <f>IF(P55="","",MAX(0,1-P55/90))</f>
        <v/>
      </c>
      <c r="AB55" s="13">
        <f>IFERROR(Y55*(1+0.20*W55+0.15*Z55)*(1-AA55*0.75),0)</f>
        <v/>
      </c>
      <c r="AC55" s="13">
        <f>IFERROR((T55+U55)*S55*(P55/90)*(1+0.25*(3-R55)),0)</f>
        <v/>
      </c>
      <c r="AD55" s="8" t="n"/>
    </row>
    <row r="56">
      <c r="A56" s="8" t="n"/>
      <c r="B56" s="8" t="n"/>
      <c r="C56" s="8" t="n"/>
      <c r="D56" s="9" t="n"/>
      <c r="E56" s="10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11" t="n"/>
      <c r="R56" s="12" t="n"/>
      <c r="S56" s="5">
        <f>IF(R56="","",1+(3-R56)*0.10)</f>
        <v/>
      </c>
      <c r="T56" s="13">
        <f>IFERROR(H56/F56*90,0)</f>
        <v/>
      </c>
      <c r="U56" s="13">
        <f>IFERROR(I56/F56*90,0)</f>
        <v/>
      </c>
      <c r="V56" s="13">
        <f>T56+U56</f>
        <v/>
      </c>
      <c r="W56" s="13">
        <f>IFERROR((H56*5+I56*3+J56*0+K56*0)/F56,0)</f>
        <v/>
      </c>
      <c r="X56" s="13">
        <f>IFERROR((2*(P56/90))+(T56/90*5)+(U56/90*3)+(O56/F56*2)+(W56*0.5),0)</f>
        <v/>
      </c>
      <c r="Y56" s="13">
        <f>IF(X56="","",X56*S56*(P56/90))</f>
        <v/>
      </c>
      <c r="Z56" s="14">
        <f>IFERROR(Y56/D56,0)</f>
        <v/>
      </c>
      <c r="AA56" s="15">
        <f>IF(P56="","",MAX(0,1-P56/90))</f>
        <v/>
      </c>
      <c r="AB56" s="13">
        <f>IFERROR(Y56*(1+0.20*W56+0.15*Z56)*(1-AA56*0.75),0)</f>
        <v/>
      </c>
      <c r="AC56" s="13">
        <f>IFERROR((T56+U56)*S56*(P56/90)*(1+0.25*(3-R56)),0)</f>
        <v/>
      </c>
      <c r="AD56" s="8" t="n"/>
    </row>
    <row r="57">
      <c r="A57" s="8" t="n"/>
      <c r="B57" s="8" t="n"/>
      <c r="C57" s="8" t="n"/>
      <c r="D57" s="9" t="n"/>
      <c r="E57" s="10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11" t="n"/>
      <c r="R57" s="12" t="n"/>
      <c r="S57" s="5">
        <f>IF(R57="","",1+(3-R57)*0.10)</f>
        <v/>
      </c>
      <c r="T57" s="13">
        <f>IFERROR(H57/F57*90,0)</f>
        <v/>
      </c>
      <c r="U57" s="13">
        <f>IFERROR(I57/F57*90,0)</f>
        <v/>
      </c>
      <c r="V57" s="13">
        <f>T57+U57</f>
        <v/>
      </c>
      <c r="W57" s="13">
        <f>IFERROR((H57*5+I57*3+J57*0+K57*0)/F57,0)</f>
        <v/>
      </c>
      <c r="X57" s="13">
        <f>IFERROR((2*(P57/90))+(T57/90*5)+(U57/90*3)+(O57/F57*2)+(W57*0.5),0)</f>
        <v/>
      </c>
      <c r="Y57" s="13">
        <f>IF(X57="","",X57*S57*(P57/90))</f>
        <v/>
      </c>
      <c r="Z57" s="14">
        <f>IFERROR(Y57/D57,0)</f>
        <v/>
      </c>
      <c r="AA57" s="15">
        <f>IF(P57="","",MAX(0,1-P57/90))</f>
        <v/>
      </c>
      <c r="AB57" s="13">
        <f>IFERROR(Y57*(1+0.20*W57+0.15*Z57)*(1-AA57*0.75),0)</f>
        <v/>
      </c>
      <c r="AC57" s="13">
        <f>IFERROR((T57+U57)*S57*(P57/90)*(1+0.25*(3-R57)),0)</f>
        <v/>
      </c>
      <c r="AD57" s="8" t="n"/>
    </row>
    <row r="58">
      <c r="A58" s="8" t="n"/>
      <c r="B58" s="8" t="n"/>
      <c r="C58" s="8" t="n"/>
      <c r="D58" s="9" t="n"/>
      <c r="E58" s="10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11" t="n"/>
      <c r="R58" s="12" t="n"/>
      <c r="S58" s="5">
        <f>IF(R58="","",1+(3-R58)*0.10)</f>
        <v/>
      </c>
      <c r="T58" s="13">
        <f>IFERROR(H58/F58*90,0)</f>
        <v/>
      </c>
      <c r="U58" s="13">
        <f>IFERROR(I58/F58*90,0)</f>
        <v/>
      </c>
      <c r="V58" s="13">
        <f>T58+U58</f>
        <v/>
      </c>
      <c r="W58" s="13">
        <f>IFERROR((H58*5+I58*3+J58*0+K58*0)/F58,0)</f>
        <v/>
      </c>
      <c r="X58" s="13">
        <f>IFERROR((2*(P58/90))+(T58/90*5)+(U58/90*3)+(O58/F58*2)+(W58*0.5),0)</f>
        <v/>
      </c>
      <c r="Y58" s="13">
        <f>IF(X58="","",X58*S58*(P58/90))</f>
        <v/>
      </c>
      <c r="Z58" s="14">
        <f>IFERROR(Y58/D58,0)</f>
        <v/>
      </c>
      <c r="AA58" s="15">
        <f>IF(P58="","",MAX(0,1-P58/90))</f>
        <v/>
      </c>
      <c r="AB58" s="13">
        <f>IFERROR(Y58*(1+0.20*W58+0.15*Z58)*(1-AA58*0.75),0)</f>
        <v/>
      </c>
      <c r="AC58" s="13">
        <f>IFERROR((T58+U58)*S58*(P58/90)*(1+0.25*(3-R58)),0)</f>
        <v/>
      </c>
      <c r="AD58" s="8" t="n"/>
    </row>
    <row r="59">
      <c r="A59" s="8" t="n"/>
      <c r="B59" s="8" t="n"/>
      <c r="C59" s="8" t="n"/>
      <c r="D59" s="9" t="n"/>
      <c r="E59" s="10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11" t="n"/>
      <c r="R59" s="12" t="n"/>
      <c r="S59" s="5">
        <f>IF(R59="","",1+(3-R59)*0.10)</f>
        <v/>
      </c>
      <c r="T59" s="13">
        <f>IFERROR(H59/F59*90,0)</f>
        <v/>
      </c>
      <c r="U59" s="13">
        <f>IFERROR(I59/F59*90,0)</f>
        <v/>
      </c>
      <c r="V59" s="13">
        <f>T59+U59</f>
        <v/>
      </c>
      <c r="W59" s="13">
        <f>IFERROR((H59*5+I59*3+J59*0+K59*0)/F59,0)</f>
        <v/>
      </c>
      <c r="X59" s="13">
        <f>IFERROR((2*(P59/90))+(T59/90*5)+(U59/90*3)+(O59/F59*2)+(W59*0.5),0)</f>
        <v/>
      </c>
      <c r="Y59" s="13">
        <f>IF(X59="","",X59*S59*(P59/90))</f>
        <v/>
      </c>
      <c r="Z59" s="14">
        <f>IFERROR(Y59/D59,0)</f>
        <v/>
      </c>
      <c r="AA59" s="15">
        <f>IF(P59="","",MAX(0,1-P59/90))</f>
        <v/>
      </c>
      <c r="AB59" s="13">
        <f>IFERROR(Y59*(1+0.20*W59+0.15*Z59)*(1-AA59*0.75),0)</f>
        <v/>
      </c>
      <c r="AC59" s="13">
        <f>IFERROR((T59+U59)*S59*(P59/90)*(1+0.25*(3-R59)),0)</f>
        <v/>
      </c>
      <c r="AD59" s="8" t="n"/>
    </row>
    <row r="60">
      <c r="A60" s="8" t="n"/>
      <c r="B60" s="8" t="n"/>
      <c r="C60" s="8" t="n"/>
      <c r="D60" s="9" t="n"/>
      <c r="E60" s="10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11" t="n"/>
      <c r="R60" s="12" t="n"/>
      <c r="S60" s="5">
        <f>IF(R60="","",1+(3-R60)*0.10)</f>
        <v/>
      </c>
      <c r="T60" s="13">
        <f>IFERROR(H60/F60*90,0)</f>
        <v/>
      </c>
      <c r="U60" s="13">
        <f>IFERROR(I60/F60*90,0)</f>
        <v/>
      </c>
      <c r="V60" s="13">
        <f>T60+U60</f>
        <v/>
      </c>
      <c r="W60" s="13">
        <f>IFERROR((H60*5+I60*3+J60*0+K60*0)/F60,0)</f>
        <v/>
      </c>
      <c r="X60" s="13">
        <f>IFERROR((2*(P60/90))+(T60/90*5)+(U60/90*3)+(O60/F60*2)+(W60*0.5),0)</f>
        <v/>
      </c>
      <c r="Y60" s="13">
        <f>IF(X60="","",X60*S60*(P60/90))</f>
        <v/>
      </c>
      <c r="Z60" s="14">
        <f>IFERROR(Y60/D60,0)</f>
        <v/>
      </c>
      <c r="AA60" s="15">
        <f>IF(P60="","",MAX(0,1-P60/90))</f>
        <v/>
      </c>
      <c r="AB60" s="13">
        <f>IFERROR(Y60*(1+0.20*W60+0.15*Z60)*(1-AA60*0.75),0)</f>
        <v/>
      </c>
      <c r="AC60" s="13">
        <f>IFERROR((T60+U60)*S60*(P60/90)*(1+0.25*(3-R60)),0)</f>
        <v/>
      </c>
      <c r="AD60" s="8" t="n"/>
    </row>
    <row r="61">
      <c r="A61" s="8" t="n"/>
      <c r="B61" s="8" t="n"/>
      <c r="C61" s="8" t="n"/>
      <c r="D61" s="9" t="n"/>
      <c r="E61" s="10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11" t="n"/>
      <c r="R61" s="12" t="n"/>
      <c r="S61" s="5">
        <f>IF(R61="","",1+(3-R61)*0.10)</f>
        <v/>
      </c>
      <c r="T61" s="13">
        <f>IFERROR(H61/F61*90,0)</f>
        <v/>
      </c>
      <c r="U61" s="13">
        <f>IFERROR(I61/F61*90,0)</f>
        <v/>
      </c>
      <c r="V61" s="13">
        <f>T61+U61</f>
        <v/>
      </c>
      <c r="W61" s="13">
        <f>IFERROR((H61*5+I61*3+J61*0+K61*0)/F61,0)</f>
        <v/>
      </c>
      <c r="X61" s="13">
        <f>IFERROR((2*(P61/90))+(T61/90*5)+(U61/90*3)+(O61/F61*2)+(W61*0.5),0)</f>
        <v/>
      </c>
      <c r="Y61" s="13">
        <f>IF(X61="","",X61*S61*(P61/90))</f>
        <v/>
      </c>
      <c r="Z61" s="14">
        <f>IFERROR(Y61/D61,0)</f>
        <v/>
      </c>
      <c r="AA61" s="15">
        <f>IF(P61="","",MAX(0,1-P61/90))</f>
        <v/>
      </c>
      <c r="AB61" s="13">
        <f>IFERROR(Y61*(1+0.20*W61+0.15*Z61)*(1-AA61*0.75),0)</f>
        <v/>
      </c>
      <c r="AC61" s="13">
        <f>IFERROR((T61+U61)*S61*(P61/90)*(1+0.25*(3-R61)),0)</f>
        <v/>
      </c>
      <c r="AD61" s="8" t="n"/>
    </row>
    <row r="62">
      <c r="A62" s="8" t="n"/>
      <c r="B62" s="8" t="n"/>
      <c r="C62" s="8" t="n"/>
      <c r="D62" s="9" t="n"/>
      <c r="E62" s="10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11" t="n"/>
      <c r="R62" s="12" t="n"/>
      <c r="S62" s="5">
        <f>IF(R62="","",1+(3-R62)*0.10)</f>
        <v/>
      </c>
      <c r="T62" s="13">
        <f>IFERROR(H62/F62*90,0)</f>
        <v/>
      </c>
      <c r="U62" s="13">
        <f>IFERROR(I62/F62*90,0)</f>
        <v/>
      </c>
      <c r="V62" s="13">
        <f>T62+U62</f>
        <v/>
      </c>
      <c r="W62" s="13">
        <f>IFERROR((H62*5+I62*3+J62*0+K62*0)/F62,0)</f>
        <v/>
      </c>
      <c r="X62" s="13">
        <f>IFERROR((2*(P62/90))+(T62/90*5)+(U62/90*3)+(O62/F62*2)+(W62*0.5),0)</f>
        <v/>
      </c>
      <c r="Y62" s="13">
        <f>IF(X62="","",X62*S62*(P62/90))</f>
        <v/>
      </c>
      <c r="Z62" s="14">
        <f>IFERROR(Y62/D62,0)</f>
        <v/>
      </c>
      <c r="AA62" s="15">
        <f>IF(P62="","",MAX(0,1-P62/90))</f>
        <v/>
      </c>
      <c r="AB62" s="13">
        <f>IFERROR(Y62*(1+0.20*W62+0.15*Z62)*(1-AA62*0.75),0)</f>
        <v/>
      </c>
      <c r="AC62" s="13">
        <f>IFERROR((T62+U62)*S62*(P62/90)*(1+0.25*(3-R62)),0)</f>
        <v/>
      </c>
      <c r="AD62" s="8" t="n"/>
    </row>
    <row r="63">
      <c r="A63" s="8" t="n"/>
      <c r="B63" s="8" t="n"/>
      <c r="C63" s="8" t="n"/>
      <c r="D63" s="9" t="n"/>
      <c r="E63" s="10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11" t="n"/>
      <c r="R63" s="12" t="n"/>
      <c r="S63" s="5">
        <f>IF(R63="","",1+(3-R63)*0.10)</f>
        <v/>
      </c>
      <c r="T63" s="13">
        <f>IFERROR(H63/F63*90,0)</f>
        <v/>
      </c>
      <c r="U63" s="13">
        <f>IFERROR(I63/F63*90,0)</f>
        <v/>
      </c>
      <c r="V63" s="13">
        <f>T63+U63</f>
        <v/>
      </c>
      <c r="W63" s="13">
        <f>IFERROR((H63*5+I63*3+J63*0+K63*0)/F63,0)</f>
        <v/>
      </c>
      <c r="X63" s="13">
        <f>IFERROR((2*(P63/90))+(T63/90*5)+(U63/90*3)+(O63/F63*2)+(W63*0.5),0)</f>
        <v/>
      </c>
      <c r="Y63" s="13">
        <f>IF(X63="","",X63*S63*(P63/90))</f>
        <v/>
      </c>
      <c r="Z63" s="14">
        <f>IFERROR(Y63/D63,0)</f>
        <v/>
      </c>
      <c r="AA63" s="15">
        <f>IF(P63="","",MAX(0,1-P63/90))</f>
        <v/>
      </c>
      <c r="AB63" s="13">
        <f>IFERROR(Y63*(1+0.20*W63+0.15*Z63)*(1-AA63*0.75),0)</f>
        <v/>
      </c>
      <c r="AC63" s="13">
        <f>IFERROR((T63+U63)*S63*(P63/90)*(1+0.25*(3-R63)),0)</f>
        <v/>
      </c>
      <c r="AD63" s="8" t="n"/>
    </row>
    <row r="64">
      <c r="A64" s="8" t="n"/>
      <c r="B64" s="8" t="n"/>
      <c r="C64" s="8" t="n"/>
      <c r="D64" s="9" t="n"/>
      <c r="E64" s="10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11" t="n"/>
      <c r="R64" s="12" t="n"/>
      <c r="S64" s="5">
        <f>IF(R64="","",1+(3-R64)*0.10)</f>
        <v/>
      </c>
      <c r="T64" s="13">
        <f>IFERROR(H64/F64*90,0)</f>
        <v/>
      </c>
      <c r="U64" s="13">
        <f>IFERROR(I64/F64*90,0)</f>
        <v/>
      </c>
      <c r="V64" s="13">
        <f>T64+U64</f>
        <v/>
      </c>
      <c r="W64" s="13">
        <f>IFERROR((H64*5+I64*3+J64*0+K64*0)/F64,0)</f>
        <v/>
      </c>
      <c r="X64" s="13">
        <f>IFERROR((2*(P64/90))+(T64/90*5)+(U64/90*3)+(O64/F64*2)+(W64*0.5),0)</f>
        <v/>
      </c>
      <c r="Y64" s="13">
        <f>IF(X64="","",X64*S64*(P64/90))</f>
        <v/>
      </c>
      <c r="Z64" s="14">
        <f>IFERROR(Y64/D64,0)</f>
        <v/>
      </c>
      <c r="AA64" s="15">
        <f>IF(P64="","",MAX(0,1-P64/90))</f>
        <v/>
      </c>
      <c r="AB64" s="13">
        <f>IFERROR(Y64*(1+0.20*W64+0.15*Z64)*(1-AA64*0.75),0)</f>
        <v/>
      </c>
      <c r="AC64" s="13">
        <f>IFERROR((T64+U64)*S64*(P64/90)*(1+0.25*(3-R64)),0)</f>
        <v/>
      </c>
      <c r="AD64" s="8" t="n"/>
    </row>
    <row r="65">
      <c r="A65" s="8" t="n"/>
      <c r="B65" s="8" t="n"/>
      <c r="C65" s="8" t="n"/>
      <c r="D65" s="9" t="n"/>
      <c r="E65" s="10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11" t="n"/>
      <c r="R65" s="12" t="n"/>
      <c r="S65" s="5">
        <f>IF(R65="","",1+(3-R65)*0.10)</f>
        <v/>
      </c>
      <c r="T65" s="13">
        <f>IFERROR(H65/F65*90,0)</f>
        <v/>
      </c>
      <c r="U65" s="13">
        <f>IFERROR(I65/F65*90,0)</f>
        <v/>
      </c>
      <c r="V65" s="13">
        <f>T65+U65</f>
        <v/>
      </c>
      <c r="W65" s="13">
        <f>IFERROR((H65*5+I65*3+J65*0+K65*0)/F65,0)</f>
        <v/>
      </c>
      <c r="X65" s="13">
        <f>IFERROR((2*(P65/90))+(T65/90*5)+(U65/90*3)+(O65/F65*2)+(W65*0.5),0)</f>
        <v/>
      </c>
      <c r="Y65" s="13">
        <f>IF(X65="","",X65*S65*(P65/90))</f>
        <v/>
      </c>
      <c r="Z65" s="14">
        <f>IFERROR(Y65/D65,0)</f>
        <v/>
      </c>
      <c r="AA65" s="15">
        <f>IF(P65="","",MAX(0,1-P65/90))</f>
        <v/>
      </c>
      <c r="AB65" s="13">
        <f>IFERROR(Y65*(1+0.20*W65+0.15*Z65)*(1-AA65*0.75),0)</f>
        <v/>
      </c>
      <c r="AC65" s="13">
        <f>IFERROR((T65+U65)*S65*(P65/90)*(1+0.25*(3-R65)),0)</f>
        <v/>
      </c>
      <c r="AD65" s="8" t="n"/>
    </row>
    <row r="66">
      <c r="A66" s="8" t="n"/>
      <c r="B66" s="8" t="n"/>
      <c r="C66" s="8" t="n"/>
      <c r="D66" s="9" t="n"/>
      <c r="E66" s="10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11" t="n"/>
      <c r="R66" s="12" t="n"/>
      <c r="S66" s="5">
        <f>IF(R66="","",1+(3-R66)*0.10)</f>
        <v/>
      </c>
      <c r="T66" s="13">
        <f>IFERROR(H66/F66*90,0)</f>
        <v/>
      </c>
      <c r="U66" s="13">
        <f>IFERROR(I66/F66*90,0)</f>
        <v/>
      </c>
      <c r="V66" s="13">
        <f>T66+U66</f>
        <v/>
      </c>
      <c r="W66" s="13">
        <f>IFERROR((H66*5+I66*3+J66*0+K66*0)/F66,0)</f>
        <v/>
      </c>
      <c r="X66" s="13">
        <f>IFERROR((2*(P66/90))+(T66/90*5)+(U66/90*3)+(O66/F66*2)+(W66*0.5),0)</f>
        <v/>
      </c>
      <c r="Y66" s="13">
        <f>IF(X66="","",X66*S66*(P66/90))</f>
        <v/>
      </c>
      <c r="Z66" s="14">
        <f>IFERROR(Y66/D66,0)</f>
        <v/>
      </c>
      <c r="AA66" s="15">
        <f>IF(P66="","",MAX(0,1-P66/90))</f>
        <v/>
      </c>
      <c r="AB66" s="13">
        <f>IFERROR(Y66*(1+0.20*W66+0.15*Z66)*(1-AA66*0.75),0)</f>
        <v/>
      </c>
      <c r="AC66" s="13">
        <f>IFERROR((T66+U66)*S66*(P66/90)*(1+0.25*(3-R66)),0)</f>
        <v/>
      </c>
      <c r="AD66" s="8" t="n"/>
    </row>
    <row r="67">
      <c r="A67" s="8" t="n"/>
      <c r="B67" s="8" t="n"/>
      <c r="C67" s="8" t="n"/>
      <c r="D67" s="9" t="n"/>
      <c r="E67" s="10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11" t="n"/>
      <c r="R67" s="12" t="n"/>
      <c r="S67" s="5">
        <f>IF(R67="","",1+(3-R67)*0.10)</f>
        <v/>
      </c>
      <c r="T67" s="13">
        <f>IFERROR(H67/F67*90,0)</f>
        <v/>
      </c>
      <c r="U67" s="13">
        <f>IFERROR(I67/F67*90,0)</f>
        <v/>
      </c>
      <c r="V67" s="13">
        <f>T67+U67</f>
        <v/>
      </c>
      <c r="W67" s="13">
        <f>IFERROR((H67*5+I67*3+J67*0+K67*0)/F67,0)</f>
        <v/>
      </c>
      <c r="X67" s="13">
        <f>IFERROR((2*(P67/90))+(T67/90*5)+(U67/90*3)+(O67/F67*2)+(W67*0.5),0)</f>
        <v/>
      </c>
      <c r="Y67" s="13">
        <f>IF(X67="","",X67*S67*(P67/90))</f>
        <v/>
      </c>
      <c r="Z67" s="14">
        <f>IFERROR(Y67/D67,0)</f>
        <v/>
      </c>
      <c r="AA67" s="15">
        <f>IF(P67="","",MAX(0,1-P67/90))</f>
        <v/>
      </c>
      <c r="AB67" s="13">
        <f>IFERROR(Y67*(1+0.20*W67+0.15*Z67)*(1-AA67*0.75),0)</f>
        <v/>
      </c>
      <c r="AC67" s="13">
        <f>IFERROR((T67+U67)*S67*(P67/90)*(1+0.25*(3-R67)),0)</f>
        <v/>
      </c>
      <c r="AD67" s="8" t="n"/>
    </row>
    <row r="68">
      <c r="A68" s="8" t="n"/>
      <c r="B68" s="8" t="n"/>
      <c r="C68" s="8" t="n"/>
      <c r="D68" s="9" t="n"/>
      <c r="E68" s="10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11" t="n"/>
      <c r="R68" s="12" t="n"/>
      <c r="S68" s="5">
        <f>IF(R68="","",1+(3-R68)*0.10)</f>
        <v/>
      </c>
      <c r="T68" s="13">
        <f>IFERROR(H68/F68*90,0)</f>
        <v/>
      </c>
      <c r="U68" s="13">
        <f>IFERROR(I68/F68*90,0)</f>
        <v/>
      </c>
      <c r="V68" s="13">
        <f>T68+U68</f>
        <v/>
      </c>
      <c r="W68" s="13">
        <f>IFERROR((H68*5+I68*3+J68*0+K68*0)/F68,0)</f>
        <v/>
      </c>
      <c r="X68" s="13">
        <f>IFERROR((2*(P68/90))+(T68/90*5)+(U68/90*3)+(O68/F68*2)+(W68*0.5),0)</f>
        <v/>
      </c>
      <c r="Y68" s="13">
        <f>IF(X68="","",X68*S68*(P68/90))</f>
        <v/>
      </c>
      <c r="Z68" s="14">
        <f>IFERROR(Y68/D68,0)</f>
        <v/>
      </c>
      <c r="AA68" s="15">
        <f>IF(P68="","",MAX(0,1-P68/90))</f>
        <v/>
      </c>
      <c r="AB68" s="13">
        <f>IFERROR(Y68*(1+0.20*W68+0.15*Z68)*(1-AA68*0.75),0)</f>
        <v/>
      </c>
      <c r="AC68" s="13">
        <f>IFERROR((T68+U68)*S68*(P68/90)*(1+0.25*(3-R68)),0)</f>
        <v/>
      </c>
      <c r="AD68" s="8" t="n"/>
    </row>
    <row r="69">
      <c r="A69" s="8" t="n"/>
      <c r="B69" s="8" t="n"/>
      <c r="C69" s="8" t="n"/>
      <c r="D69" s="9" t="n"/>
      <c r="E69" s="10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11" t="n"/>
      <c r="R69" s="12" t="n"/>
      <c r="S69" s="5">
        <f>IF(R69="","",1+(3-R69)*0.10)</f>
        <v/>
      </c>
      <c r="T69" s="13">
        <f>IFERROR(H69/F69*90,0)</f>
        <v/>
      </c>
      <c r="U69" s="13">
        <f>IFERROR(I69/F69*90,0)</f>
        <v/>
      </c>
      <c r="V69" s="13">
        <f>T69+U69</f>
        <v/>
      </c>
      <c r="W69" s="13">
        <f>IFERROR((H69*5+I69*3+J69*0+K69*0)/F69,0)</f>
        <v/>
      </c>
      <c r="X69" s="13">
        <f>IFERROR((2*(P69/90))+(T69/90*5)+(U69/90*3)+(O69/F69*2)+(W69*0.5),0)</f>
        <v/>
      </c>
      <c r="Y69" s="13">
        <f>IF(X69="","",X69*S69*(P69/90))</f>
        <v/>
      </c>
      <c r="Z69" s="14">
        <f>IFERROR(Y69/D69,0)</f>
        <v/>
      </c>
      <c r="AA69" s="15">
        <f>IF(P69="","",MAX(0,1-P69/90))</f>
        <v/>
      </c>
      <c r="AB69" s="13">
        <f>IFERROR(Y69*(1+0.20*W69+0.15*Z69)*(1-AA69*0.75),0)</f>
        <v/>
      </c>
      <c r="AC69" s="13">
        <f>IFERROR((T69+U69)*S69*(P69/90)*(1+0.25*(3-R69)),0)</f>
        <v/>
      </c>
      <c r="AD69" s="8" t="n"/>
    </row>
    <row r="70">
      <c r="A70" s="8" t="n"/>
      <c r="B70" s="8" t="n"/>
      <c r="C70" s="8" t="n"/>
      <c r="D70" s="9" t="n"/>
      <c r="E70" s="10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11" t="n"/>
      <c r="R70" s="12" t="n"/>
      <c r="S70" s="5">
        <f>IF(R70="","",1+(3-R70)*0.10)</f>
        <v/>
      </c>
      <c r="T70" s="13">
        <f>IFERROR(H70/F70*90,0)</f>
        <v/>
      </c>
      <c r="U70" s="13">
        <f>IFERROR(I70/F70*90,0)</f>
        <v/>
      </c>
      <c r="V70" s="13">
        <f>T70+U70</f>
        <v/>
      </c>
      <c r="W70" s="13">
        <f>IFERROR((H70*5+I70*3+J70*0+K70*0)/F70,0)</f>
        <v/>
      </c>
      <c r="X70" s="13">
        <f>IFERROR((2*(P70/90))+(T70/90*5)+(U70/90*3)+(O70/F70*2)+(W70*0.5),0)</f>
        <v/>
      </c>
      <c r="Y70" s="13">
        <f>IF(X70="","",X70*S70*(P70/90))</f>
        <v/>
      </c>
      <c r="Z70" s="14">
        <f>IFERROR(Y70/D70,0)</f>
        <v/>
      </c>
      <c r="AA70" s="15">
        <f>IF(P70="","",MAX(0,1-P70/90))</f>
        <v/>
      </c>
      <c r="AB70" s="13">
        <f>IFERROR(Y70*(1+0.20*W70+0.15*Z70)*(1-AA70*0.75),0)</f>
        <v/>
      </c>
      <c r="AC70" s="13">
        <f>IFERROR((T70+U70)*S70*(P70/90)*(1+0.25*(3-R70)),0)</f>
        <v/>
      </c>
      <c r="AD70" s="8" t="n"/>
    </row>
    <row r="71">
      <c r="A71" s="8" t="n"/>
      <c r="B71" s="8" t="n"/>
      <c r="C71" s="8" t="n"/>
      <c r="D71" s="9" t="n"/>
      <c r="E71" s="10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11" t="n"/>
      <c r="R71" s="12" t="n"/>
      <c r="S71" s="5">
        <f>IF(R71="","",1+(3-R71)*0.10)</f>
        <v/>
      </c>
      <c r="T71" s="13">
        <f>IFERROR(H71/F71*90,0)</f>
        <v/>
      </c>
      <c r="U71" s="13">
        <f>IFERROR(I71/F71*90,0)</f>
        <v/>
      </c>
      <c r="V71" s="13">
        <f>T71+U71</f>
        <v/>
      </c>
      <c r="W71" s="13">
        <f>IFERROR((H71*5+I71*3+J71*0+K71*0)/F71,0)</f>
        <v/>
      </c>
      <c r="X71" s="13">
        <f>IFERROR((2*(P71/90))+(T71/90*5)+(U71/90*3)+(O71/F71*2)+(W71*0.5),0)</f>
        <v/>
      </c>
      <c r="Y71" s="13">
        <f>IF(X71="","",X71*S71*(P71/90))</f>
        <v/>
      </c>
      <c r="Z71" s="14">
        <f>IFERROR(Y71/D71,0)</f>
        <v/>
      </c>
      <c r="AA71" s="15">
        <f>IF(P71="","",MAX(0,1-P71/90))</f>
        <v/>
      </c>
      <c r="AB71" s="13">
        <f>IFERROR(Y71*(1+0.20*W71+0.15*Z71)*(1-AA71*0.75),0)</f>
        <v/>
      </c>
      <c r="AC71" s="13">
        <f>IFERROR((T71+U71)*S71*(P71/90)*(1+0.25*(3-R71)),0)</f>
        <v/>
      </c>
      <c r="AD71" s="8" t="n"/>
    </row>
    <row r="72">
      <c r="A72" s="8" t="n"/>
      <c r="B72" s="8" t="n"/>
      <c r="C72" s="8" t="n"/>
      <c r="D72" s="9" t="n"/>
      <c r="E72" s="10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11" t="n"/>
      <c r="R72" s="12" t="n"/>
      <c r="S72" s="5">
        <f>IF(R72="","",1+(3-R72)*0.10)</f>
        <v/>
      </c>
      <c r="T72" s="13">
        <f>IFERROR(H72/F72*90,0)</f>
        <v/>
      </c>
      <c r="U72" s="13">
        <f>IFERROR(I72/F72*90,0)</f>
        <v/>
      </c>
      <c r="V72" s="13">
        <f>T72+U72</f>
        <v/>
      </c>
      <c r="W72" s="13">
        <f>IFERROR((H72*5+I72*3+J72*0+K72*0)/F72,0)</f>
        <v/>
      </c>
      <c r="X72" s="13">
        <f>IFERROR((2*(P72/90))+(T72/90*5)+(U72/90*3)+(O72/F72*2)+(W72*0.5),0)</f>
        <v/>
      </c>
      <c r="Y72" s="13">
        <f>IF(X72="","",X72*S72*(P72/90))</f>
        <v/>
      </c>
      <c r="Z72" s="14">
        <f>IFERROR(Y72/D72,0)</f>
        <v/>
      </c>
      <c r="AA72" s="15">
        <f>IF(P72="","",MAX(0,1-P72/90))</f>
        <v/>
      </c>
      <c r="AB72" s="13">
        <f>IFERROR(Y72*(1+0.20*W72+0.15*Z72)*(1-AA72*0.75),0)</f>
        <v/>
      </c>
      <c r="AC72" s="13">
        <f>IFERROR((T72+U72)*S72*(P72/90)*(1+0.25*(3-R72)),0)</f>
        <v/>
      </c>
      <c r="AD72" s="8" t="n"/>
    </row>
    <row r="73">
      <c r="A73" s="8" t="n"/>
      <c r="B73" s="8" t="n"/>
      <c r="C73" s="8" t="n"/>
      <c r="D73" s="9" t="n"/>
      <c r="E73" s="10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11" t="n"/>
      <c r="R73" s="12" t="n"/>
      <c r="S73" s="5">
        <f>IF(R73="","",1+(3-R73)*0.10)</f>
        <v/>
      </c>
      <c r="T73" s="13">
        <f>IFERROR(H73/F73*90,0)</f>
        <v/>
      </c>
      <c r="U73" s="13">
        <f>IFERROR(I73/F73*90,0)</f>
        <v/>
      </c>
      <c r="V73" s="13">
        <f>T73+U73</f>
        <v/>
      </c>
      <c r="W73" s="13">
        <f>IFERROR((H73*5+I73*3+J73*0+K73*0)/F73,0)</f>
        <v/>
      </c>
      <c r="X73" s="13">
        <f>IFERROR((2*(P73/90))+(T73/90*5)+(U73/90*3)+(O73/F73*2)+(W73*0.5),0)</f>
        <v/>
      </c>
      <c r="Y73" s="13">
        <f>IF(X73="","",X73*S73*(P73/90))</f>
        <v/>
      </c>
      <c r="Z73" s="14">
        <f>IFERROR(Y73/D73,0)</f>
        <v/>
      </c>
      <c r="AA73" s="15">
        <f>IF(P73="","",MAX(0,1-P73/90))</f>
        <v/>
      </c>
      <c r="AB73" s="13">
        <f>IFERROR(Y73*(1+0.20*W73+0.15*Z73)*(1-AA73*0.75),0)</f>
        <v/>
      </c>
      <c r="AC73" s="13">
        <f>IFERROR((T73+U73)*S73*(P73/90)*(1+0.25*(3-R73)),0)</f>
        <v/>
      </c>
      <c r="AD73" s="8" t="n"/>
    </row>
    <row r="74">
      <c r="A74" s="8" t="n"/>
      <c r="B74" s="8" t="n"/>
      <c r="C74" s="8" t="n"/>
      <c r="D74" s="9" t="n"/>
      <c r="E74" s="10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11" t="n"/>
      <c r="R74" s="12" t="n"/>
      <c r="S74" s="5">
        <f>IF(R74="","",1+(3-R74)*0.10)</f>
        <v/>
      </c>
      <c r="T74" s="13">
        <f>IFERROR(H74/F74*90,0)</f>
        <v/>
      </c>
      <c r="U74" s="13">
        <f>IFERROR(I74/F74*90,0)</f>
        <v/>
      </c>
      <c r="V74" s="13">
        <f>T74+U74</f>
        <v/>
      </c>
      <c r="W74" s="13">
        <f>IFERROR((H74*5+I74*3+J74*0+K74*0)/F74,0)</f>
        <v/>
      </c>
      <c r="X74" s="13">
        <f>IFERROR((2*(P74/90))+(T74/90*5)+(U74/90*3)+(O74/F74*2)+(W74*0.5),0)</f>
        <v/>
      </c>
      <c r="Y74" s="13">
        <f>IF(X74="","",X74*S74*(P74/90))</f>
        <v/>
      </c>
      <c r="Z74" s="14">
        <f>IFERROR(Y74/D74,0)</f>
        <v/>
      </c>
      <c r="AA74" s="15">
        <f>IF(P74="","",MAX(0,1-P74/90))</f>
        <v/>
      </c>
      <c r="AB74" s="13">
        <f>IFERROR(Y74*(1+0.20*W74+0.15*Z74)*(1-AA74*0.75),0)</f>
        <v/>
      </c>
      <c r="AC74" s="13">
        <f>IFERROR((T74+U74)*S74*(P74/90)*(1+0.25*(3-R74)),0)</f>
        <v/>
      </c>
      <c r="AD74" s="8" t="n"/>
    </row>
    <row r="75">
      <c r="A75" s="8" t="n"/>
      <c r="B75" s="8" t="n"/>
      <c r="C75" s="8" t="n"/>
      <c r="D75" s="9" t="n"/>
      <c r="E75" s="10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11" t="n"/>
      <c r="R75" s="12" t="n"/>
      <c r="S75" s="5">
        <f>IF(R75="","",1+(3-R75)*0.10)</f>
        <v/>
      </c>
      <c r="T75" s="13">
        <f>IFERROR(H75/F75*90,0)</f>
        <v/>
      </c>
      <c r="U75" s="13">
        <f>IFERROR(I75/F75*90,0)</f>
        <v/>
      </c>
      <c r="V75" s="13">
        <f>T75+U75</f>
        <v/>
      </c>
      <c r="W75" s="13">
        <f>IFERROR((H75*5+I75*3+J75*0+K75*0)/F75,0)</f>
        <v/>
      </c>
      <c r="X75" s="13">
        <f>IFERROR((2*(P75/90))+(T75/90*5)+(U75/90*3)+(O75/F75*2)+(W75*0.5),0)</f>
        <v/>
      </c>
      <c r="Y75" s="13">
        <f>IF(X75="","",X75*S75*(P75/90))</f>
        <v/>
      </c>
      <c r="Z75" s="14">
        <f>IFERROR(Y75/D75,0)</f>
        <v/>
      </c>
      <c r="AA75" s="15">
        <f>IF(P75="","",MAX(0,1-P75/90))</f>
        <v/>
      </c>
      <c r="AB75" s="13">
        <f>IFERROR(Y75*(1+0.20*W75+0.15*Z75)*(1-AA75*0.75),0)</f>
        <v/>
      </c>
      <c r="AC75" s="13">
        <f>IFERROR((T75+U75)*S75*(P75/90)*(1+0.25*(3-R75)),0)</f>
        <v/>
      </c>
      <c r="AD75" s="8" t="n"/>
    </row>
    <row r="76">
      <c r="A76" s="8" t="n"/>
      <c r="B76" s="8" t="n"/>
      <c r="C76" s="8" t="n"/>
      <c r="D76" s="9" t="n"/>
      <c r="E76" s="10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11" t="n"/>
      <c r="R76" s="12" t="n"/>
      <c r="S76" s="5">
        <f>IF(R76="","",1+(3-R76)*0.10)</f>
        <v/>
      </c>
      <c r="T76" s="13">
        <f>IFERROR(H76/F76*90,0)</f>
        <v/>
      </c>
      <c r="U76" s="13">
        <f>IFERROR(I76/F76*90,0)</f>
        <v/>
      </c>
      <c r="V76" s="13">
        <f>T76+U76</f>
        <v/>
      </c>
      <c r="W76" s="13">
        <f>IFERROR((H76*5+I76*3+J76*0+K76*0)/F76,0)</f>
        <v/>
      </c>
      <c r="X76" s="13">
        <f>IFERROR((2*(P76/90))+(T76/90*5)+(U76/90*3)+(O76/F76*2)+(W76*0.5),0)</f>
        <v/>
      </c>
      <c r="Y76" s="13">
        <f>IF(X76="","",X76*S76*(P76/90))</f>
        <v/>
      </c>
      <c r="Z76" s="14">
        <f>IFERROR(Y76/D76,0)</f>
        <v/>
      </c>
      <c r="AA76" s="15">
        <f>IF(P76="","",MAX(0,1-P76/90))</f>
        <v/>
      </c>
      <c r="AB76" s="13">
        <f>IFERROR(Y76*(1+0.20*W76+0.15*Z76)*(1-AA76*0.75),0)</f>
        <v/>
      </c>
      <c r="AC76" s="13">
        <f>IFERROR((T76+U76)*S76*(P76/90)*(1+0.25*(3-R76)),0)</f>
        <v/>
      </c>
      <c r="AD76" s="8" t="n"/>
    </row>
    <row r="77">
      <c r="A77" s="8" t="n"/>
      <c r="B77" s="8" t="n"/>
      <c r="C77" s="8" t="n"/>
      <c r="D77" s="9" t="n"/>
      <c r="E77" s="10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11" t="n"/>
      <c r="R77" s="12" t="n"/>
      <c r="S77" s="5">
        <f>IF(R77="","",1+(3-R77)*0.10)</f>
        <v/>
      </c>
      <c r="T77" s="13">
        <f>IFERROR(H77/F77*90,0)</f>
        <v/>
      </c>
      <c r="U77" s="13">
        <f>IFERROR(I77/F77*90,0)</f>
        <v/>
      </c>
      <c r="V77" s="13">
        <f>T77+U77</f>
        <v/>
      </c>
      <c r="W77" s="13">
        <f>IFERROR((H77*5+I77*3+J77*0+K77*0)/F77,0)</f>
        <v/>
      </c>
      <c r="X77" s="13">
        <f>IFERROR((2*(P77/90))+(T77/90*5)+(U77/90*3)+(O77/F77*2)+(W77*0.5),0)</f>
        <v/>
      </c>
      <c r="Y77" s="13">
        <f>IF(X77="","",X77*S77*(P77/90))</f>
        <v/>
      </c>
      <c r="Z77" s="14">
        <f>IFERROR(Y77/D77,0)</f>
        <v/>
      </c>
      <c r="AA77" s="15">
        <f>IF(P77="","",MAX(0,1-P77/90))</f>
        <v/>
      </c>
      <c r="AB77" s="13">
        <f>IFERROR(Y77*(1+0.20*W77+0.15*Z77)*(1-AA77*0.75),0)</f>
        <v/>
      </c>
      <c r="AC77" s="13">
        <f>IFERROR((T77+U77)*S77*(P77/90)*(1+0.25*(3-R77)),0)</f>
        <v/>
      </c>
      <c r="AD77" s="8" t="n"/>
    </row>
    <row r="78">
      <c r="A78" s="8" t="n"/>
      <c r="B78" s="8" t="n"/>
      <c r="C78" s="8" t="n"/>
      <c r="D78" s="9" t="n"/>
      <c r="E78" s="10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11" t="n"/>
      <c r="R78" s="12" t="n"/>
      <c r="S78" s="5">
        <f>IF(R78="","",1+(3-R78)*0.10)</f>
        <v/>
      </c>
      <c r="T78" s="13">
        <f>IFERROR(H78/F78*90,0)</f>
        <v/>
      </c>
      <c r="U78" s="13">
        <f>IFERROR(I78/F78*90,0)</f>
        <v/>
      </c>
      <c r="V78" s="13">
        <f>T78+U78</f>
        <v/>
      </c>
      <c r="W78" s="13">
        <f>IFERROR((H78*5+I78*3+J78*0+K78*0)/F78,0)</f>
        <v/>
      </c>
      <c r="X78" s="13">
        <f>IFERROR((2*(P78/90))+(T78/90*5)+(U78/90*3)+(O78/F78*2)+(W78*0.5),0)</f>
        <v/>
      </c>
      <c r="Y78" s="13">
        <f>IF(X78="","",X78*S78*(P78/90))</f>
        <v/>
      </c>
      <c r="Z78" s="14">
        <f>IFERROR(Y78/D78,0)</f>
        <v/>
      </c>
      <c r="AA78" s="15">
        <f>IF(P78="","",MAX(0,1-P78/90))</f>
        <v/>
      </c>
      <c r="AB78" s="13">
        <f>IFERROR(Y78*(1+0.20*W78+0.15*Z78)*(1-AA78*0.75),0)</f>
        <v/>
      </c>
      <c r="AC78" s="13">
        <f>IFERROR((T78+U78)*S78*(P78/90)*(1+0.25*(3-R78)),0)</f>
        <v/>
      </c>
      <c r="AD78" s="8" t="n"/>
    </row>
    <row r="79">
      <c r="A79" s="8" t="n"/>
      <c r="B79" s="8" t="n"/>
      <c r="C79" s="8" t="n"/>
      <c r="D79" s="9" t="n"/>
      <c r="E79" s="10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11" t="n"/>
      <c r="R79" s="12" t="n"/>
      <c r="S79" s="5">
        <f>IF(R79="","",1+(3-R79)*0.10)</f>
        <v/>
      </c>
      <c r="T79" s="13">
        <f>IFERROR(H79/F79*90,0)</f>
        <v/>
      </c>
      <c r="U79" s="13">
        <f>IFERROR(I79/F79*90,0)</f>
        <v/>
      </c>
      <c r="V79" s="13">
        <f>T79+U79</f>
        <v/>
      </c>
      <c r="W79" s="13">
        <f>IFERROR((H79*5+I79*3+J79*0+K79*0)/F79,0)</f>
        <v/>
      </c>
      <c r="X79" s="13">
        <f>IFERROR((2*(P79/90))+(T79/90*5)+(U79/90*3)+(O79/F79*2)+(W79*0.5),0)</f>
        <v/>
      </c>
      <c r="Y79" s="13">
        <f>IF(X79="","",X79*S79*(P79/90))</f>
        <v/>
      </c>
      <c r="Z79" s="14">
        <f>IFERROR(Y79/D79,0)</f>
        <v/>
      </c>
      <c r="AA79" s="15">
        <f>IF(P79="","",MAX(0,1-P79/90))</f>
        <v/>
      </c>
      <c r="AB79" s="13">
        <f>IFERROR(Y79*(1+0.20*W79+0.15*Z79)*(1-AA79*0.75),0)</f>
        <v/>
      </c>
      <c r="AC79" s="13">
        <f>IFERROR((T79+U79)*S79*(P79/90)*(1+0.25*(3-R79)),0)</f>
        <v/>
      </c>
      <c r="AD79" s="8" t="n"/>
    </row>
    <row r="80">
      <c r="A80" s="8" t="n"/>
      <c r="B80" s="8" t="n"/>
      <c r="C80" s="8" t="n"/>
      <c r="D80" s="9" t="n"/>
      <c r="E80" s="10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11" t="n"/>
      <c r="R80" s="12" t="n"/>
      <c r="S80" s="5">
        <f>IF(R80="","",1+(3-R80)*0.10)</f>
        <v/>
      </c>
      <c r="T80" s="13">
        <f>IFERROR(H80/F80*90,0)</f>
        <v/>
      </c>
      <c r="U80" s="13">
        <f>IFERROR(I80/F80*90,0)</f>
        <v/>
      </c>
      <c r="V80" s="13">
        <f>T80+U80</f>
        <v/>
      </c>
      <c r="W80" s="13">
        <f>IFERROR((H80*5+I80*3+J80*0+K80*0)/F80,0)</f>
        <v/>
      </c>
      <c r="X80" s="13">
        <f>IFERROR((2*(P80/90))+(T80/90*5)+(U80/90*3)+(O80/F80*2)+(W80*0.5),0)</f>
        <v/>
      </c>
      <c r="Y80" s="13">
        <f>IF(X80="","",X80*S80*(P80/90))</f>
        <v/>
      </c>
      <c r="Z80" s="14">
        <f>IFERROR(Y80/D80,0)</f>
        <v/>
      </c>
      <c r="AA80" s="15">
        <f>IF(P80="","",MAX(0,1-P80/90))</f>
        <v/>
      </c>
      <c r="AB80" s="13">
        <f>IFERROR(Y80*(1+0.20*W80+0.15*Z80)*(1-AA80*0.75),0)</f>
        <v/>
      </c>
      <c r="AC80" s="13">
        <f>IFERROR((T80+U80)*S80*(P80/90)*(1+0.25*(3-R80)),0)</f>
        <v/>
      </c>
      <c r="AD80" s="8" t="n"/>
    </row>
    <row r="81">
      <c r="A81" s="8" t="n"/>
      <c r="B81" s="8" t="n"/>
      <c r="C81" s="8" t="n"/>
      <c r="D81" s="9" t="n"/>
      <c r="E81" s="10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11" t="n"/>
      <c r="R81" s="12" t="n"/>
      <c r="S81" s="5">
        <f>IF(R81="","",1+(3-R81)*0.10)</f>
        <v/>
      </c>
      <c r="T81" s="13">
        <f>IFERROR(H81/F81*90,0)</f>
        <v/>
      </c>
      <c r="U81" s="13">
        <f>IFERROR(I81/F81*90,0)</f>
        <v/>
      </c>
      <c r="V81" s="13">
        <f>T81+U81</f>
        <v/>
      </c>
      <c r="W81" s="13">
        <f>IFERROR((H81*5+I81*3+J81*0+K81*0)/F81,0)</f>
        <v/>
      </c>
      <c r="X81" s="13">
        <f>IFERROR((2*(P81/90))+(T81/90*5)+(U81/90*3)+(O81/F81*2)+(W81*0.5),0)</f>
        <v/>
      </c>
      <c r="Y81" s="13">
        <f>IF(X81="","",X81*S81*(P81/90))</f>
        <v/>
      </c>
      <c r="Z81" s="14">
        <f>IFERROR(Y81/D81,0)</f>
        <v/>
      </c>
      <c r="AA81" s="15">
        <f>IF(P81="","",MAX(0,1-P81/90))</f>
        <v/>
      </c>
      <c r="AB81" s="13">
        <f>IFERROR(Y81*(1+0.20*W81+0.15*Z81)*(1-AA81*0.75),0)</f>
        <v/>
      </c>
      <c r="AC81" s="13">
        <f>IFERROR((T81+U81)*S81*(P81/90)*(1+0.25*(3-R81)),0)</f>
        <v/>
      </c>
      <c r="AD81" s="8" t="n"/>
    </row>
    <row r="82">
      <c r="A82" s="8" t="n"/>
      <c r="B82" s="8" t="n"/>
      <c r="C82" s="8" t="n"/>
      <c r="D82" s="9" t="n"/>
      <c r="E82" s="10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11" t="n"/>
      <c r="R82" s="12" t="n"/>
      <c r="S82" s="5">
        <f>IF(R82="","",1+(3-R82)*0.10)</f>
        <v/>
      </c>
      <c r="T82" s="13">
        <f>IFERROR(H82/F82*90,0)</f>
        <v/>
      </c>
      <c r="U82" s="13">
        <f>IFERROR(I82/F82*90,0)</f>
        <v/>
      </c>
      <c r="V82" s="13">
        <f>T82+U82</f>
        <v/>
      </c>
      <c r="W82" s="13">
        <f>IFERROR((H82*5+I82*3+J82*0+K82*0)/F82,0)</f>
        <v/>
      </c>
      <c r="X82" s="13">
        <f>IFERROR((2*(P82/90))+(T82/90*5)+(U82/90*3)+(O82/F82*2)+(W82*0.5),0)</f>
        <v/>
      </c>
      <c r="Y82" s="13">
        <f>IF(X82="","",X82*S82*(P82/90))</f>
        <v/>
      </c>
      <c r="Z82" s="14">
        <f>IFERROR(Y82/D82,0)</f>
        <v/>
      </c>
      <c r="AA82" s="15">
        <f>IF(P82="","",MAX(0,1-P82/90))</f>
        <v/>
      </c>
      <c r="AB82" s="13">
        <f>IFERROR(Y82*(1+0.20*W82+0.15*Z82)*(1-AA82*0.75),0)</f>
        <v/>
      </c>
      <c r="AC82" s="13">
        <f>IFERROR((T82+U82)*S82*(P82/90)*(1+0.25*(3-R82)),0)</f>
        <v/>
      </c>
      <c r="AD82" s="8" t="n"/>
    </row>
    <row r="83">
      <c r="A83" s="8" t="n"/>
      <c r="B83" s="8" t="n"/>
      <c r="C83" s="8" t="n"/>
      <c r="D83" s="9" t="n"/>
      <c r="E83" s="10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11" t="n"/>
      <c r="R83" s="12" t="n"/>
      <c r="S83" s="5">
        <f>IF(R83="","",1+(3-R83)*0.10)</f>
        <v/>
      </c>
      <c r="T83" s="13">
        <f>IFERROR(H83/F83*90,0)</f>
        <v/>
      </c>
      <c r="U83" s="13">
        <f>IFERROR(I83/F83*90,0)</f>
        <v/>
      </c>
      <c r="V83" s="13">
        <f>T83+U83</f>
        <v/>
      </c>
      <c r="W83" s="13">
        <f>IFERROR((H83*5+I83*3+J83*0+K83*0)/F83,0)</f>
        <v/>
      </c>
      <c r="X83" s="13">
        <f>IFERROR((2*(P83/90))+(T83/90*5)+(U83/90*3)+(O83/F83*2)+(W83*0.5),0)</f>
        <v/>
      </c>
      <c r="Y83" s="13">
        <f>IF(X83="","",X83*S83*(P83/90))</f>
        <v/>
      </c>
      <c r="Z83" s="14">
        <f>IFERROR(Y83/D83,0)</f>
        <v/>
      </c>
      <c r="AA83" s="15">
        <f>IF(P83="","",MAX(0,1-P83/90))</f>
        <v/>
      </c>
      <c r="AB83" s="13">
        <f>IFERROR(Y83*(1+0.20*W83+0.15*Z83)*(1-AA83*0.75),0)</f>
        <v/>
      </c>
      <c r="AC83" s="13">
        <f>IFERROR((T83+U83)*S83*(P83/90)*(1+0.25*(3-R83)),0)</f>
        <v/>
      </c>
      <c r="AD83" s="8" t="n"/>
    </row>
    <row r="84">
      <c r="A84" s="8" t="n"/>
      <c r="B84" s="8" t="n"/>
      <c r="C84" s="8" t="n"/>
      <c r="D84" s="9" t="n"/>
      <c r="E84" s="10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11" t="n"/>
      <c r="R84" s="12" t="n"/>
      <c r="S84" s="5">
        <f>IF(R84="","",1+(3-R84)*0.10)</f>
        <v/>
      </c>
      <c r="T84" s="13">
        <f>IFERROR(H84/F84*90,0)</f>
        <v/>
      </c>
      <c r="U84" s="13">
        <f>IFERROR(I84/F84*90,0)</f>
        <v/>
      </c>
      <c r="V84" s="13">
        <f>T84+U84</f>
        <v/>
      </c>
      <c r="W84" s="13">
        <f>IFERROR((H84*5+I84*3+J84*0+K84*0)/F84,0)</f>
        <v/>
      </c>
      <c r="X84" s="13">
        <f>IFERROR((2*(P84/90))+(T84/90*5)+(U84/90*3)+(O84/F84*2)+(W84*0.5),0)</f>
        <v/>
      </c>
      <c r="Y84" s="13">
        <f>IF(X84="","",X84*S84*(P84/90))</f>
        <v/>
      </c>
      <c r="Z84" s="14">
        <f>IFERROR(Y84/D84,0)</f>
        <v/>
      </c>
      <c r="AA84" s="15">
        <f>IF(P84="","",MAX(0,1-P84/90))</f>
        <v/>
      </c>
      <c r="AB84" s="13">
        <f>IFERROR(Y84*(1+0.20*W84+0.15*Z84)*(1-AA84*0.75),0)</f>
        <v/>
      </c>
      <c r="AC84" s="13">
        <f>IFERROR((T84+U84)*S84*(P84/90)*(1+0.25*(3-R84)),0)</f>
        <v/>
      </c>
      <c r="AD84" s="8" t="n"/>
    </row>
    <row r="85">
      <c r="A85" s="8" t="n"/>
      <c r="B85" s="8" t="n"/>
      <c r="C85" s="8" t="n"/>
      <c r="D85" s="9" t="n"/>
      <c r="E85" s="10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11" t="n"/>
      <c r="R85" s="12" t="n"/>
      <c r="S85" s="5">
        <f>IF(R85="","",1+(3-R85)*0.10)</f>
        <v/>
      </c>
      <c r="T85" s="13">
        <f>IFERROR(H85/F85*90,0)</f>
        <v/>
      </c>
      <c r="U85" s="13">
        <f>IFERROR(I85/F85*90,0)</f>
        <v/>
      </c>
      <c r="V85" s="13">
        <f>T85+U85</f>
        <v/>
      </c>
      <c r="W85" s="13">
        <f>IFERROR((H85*5+I85*3+J85*0+K85*0)/F85,0)</f>
        <v/>
      </c>
      <c r="X85" s="13">
        <f>IFERROR((2*(P85/90))+(T85/90*5)+(U85/90*3)+(O85/F85*2)+(W85*0.5),0)</f>
        <v/>
      </c>
      <c r="Y85" s="13">
        <f>IF(X85="","",X85*S85*(P85/90))</f>
        <v/>
      </c>
      <c r="Z85" s="14">
        <f>IFERROR(Y85/D85,0)</f>
        <v/>
      </c>
      <c r="AA85" s="15">
        <f>IF(P85="","",MAX(0,1-P85/90))</f>
        <v/>
      </c>
      <c r="AB85" s="13">
        <f>IFERROR(Y85*(1+0.20*W85+0.15*Z85)*(1-AA85*0.75),0)</f>
        <v/>
      </c>
      <c r="AC85" s="13">
        <f>IFERROR((T85+U85)*S85*(P85/90)*(1+0.25*(3-R85)),0)</f>
        <v/>
      </c>
      <c r="AD85" s="8" t="n"/>
    </row>
    <row r="86">
      <c r="A86" s="8" t="n"/>
      <c r="B86" s="8" t="n"/>
      <c r="C86" s="8" t="n"/>
      <c r="D86" s="9" t="n"/>
      <c r="E86" s="10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11" t="n"/>
      <c r="R86" s="12" t="n"/>
      <c r="S86" s="5">
        <f>IF(R86="","",1+(3-R86)*0.10)</f>
        <v/>
      </c>
      <c r="T86" s="13">
        <f>IFERROR(H86/F86*90,0)</f>
        <v/>
      </c>
      <c r="U86" s="13">
        <f>IFERROR(I86/F86*90,0)</f>
        <v/>
      </c>
      <c r="V86" s="13">
        <f>T86+U86</f>
        <v/>
      </c>
      <c r="W86" s="13">
        <f>IFERROR((H86*5+I86*3+J86*0+K86*0)/F86,0)</f>
        <v/>
      </c>
      <c r="X86" s="13">
        <f>IFERROR((2*(P86/90))+(T86/90*5)+(U86/90*3)+(O86/F86*2)+(W86*0.5),0)</f>
        <v/>
      </c>
      <c r="Y86" s="13">
        <f>IF(X86="","",X86*S86*(P86/90))</f>
        <v/>
      </c>
      <c r="Z86" s="14">
        <f>IFERROR(Y86/D86,0)</f>
        <v/>
      </c>
      <c r="AA86" s="15">
        <f>IF(P86="","",MAX(0,1-P86/90))</f>
        <v/>
      </c>
      <c r="AB86" s="13">
        <f>IFERROR(Y86*(1+0.20*W86+0.15*Z86)*(1-AA86*0.75),0)</f>
        <v/>
      </c>
      <c r="AC86" s="13">
        <f>IFERROR((T86+U86)*S86*(P86/90)*(1+0.25*(3-R86)),0)</f>
        <v/>
      </c>
      <c r="AD86" s="8" t="n"/>
    </row>
    <row r="87">
      <c r="A87" s="8" t="n"/>
      <c r="B87" s="8" t="n"/>
      <c r="C87" s="8" t="n"/>
      <c r="D87" s="9" t="n"/>
      <c r="E87" s="10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11" t="n"/>
      <c r="R87" s="12" t="n"/>
      <c r="S87" s="5">
        <f>IF(R87="","",1+(3-R87)*0.10)</f>
        <v/>
      </c>
      <c r="T87" s="13">
        <f>IFERROR(H87/F87*90,0)</f>
        <v/>
      </c>
      <c r="U87" s="13">
        <f>IFERROR(I87/F87*90,0)</f>
        <v/>
      </c>
      <c r="V87" s="13">
        <f>T87+U87</f>
        <v/>
      </c>
      <c r="W87" s="13">
        <f>IFERROR((H87*5+I87*3+J87*0+K87*0)/F87,0)</f>
        <v/>
      </c>
      <c r="X87" s="13">
        <f>IFERROR((2*(P87/90))+(T87/90*5)+(U87/90*3)+(O87/F87*2)+(W87*0.5),0)</f>
        <v/>
      </c>
      <c r="Y87" s="13">
        <f>IF(X87="","",X87*S87*(P87/90))</f>
        <v/>
      </c>
      <c r="Z87" s="14">
        <f>IFERROR(Y87/D87,0)</f>
        <v/>
      </c>
      <c r="AA87" s="15">
        <f>IF(P87="","",MAX(0,1-P87/90))</f>
        <v/>
      </c>
      <c r="AB87" s="13">
        <f>IFERROR(Y87*(1+0.20*W87+0.15*Z87)*(1-AA87*0.75),0)</f>
        <v/>
      </c>
      <c r="AC87" s="13">
        <f>IFERROR((T87+U87)*S87*(P87/90)*(1+0.25*(3-R87)),0)</f>
        <v/>
      </c>
      <c r="AD87" s="8" t="n"/>
    </row>
    <row r="88">
      <c r="A88" s="8" t="n"/>
      <c r="B88" s="8" t="n"/>
      <c r="C88" s="8" t="n"/>
      <c r="D88" s="9" t="n"/>
      <c r="E88" s="10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11" t="n"/>
      <c r="R88" s="12" t="n"/>
      <c r="S88" s="5">
        <f>IF(R88="","",1+(3-R88)*0.10)</f>
        <v/>
      </c>
      <c r="T88" s="13">
        <f>IFERROR(H88/F88*90,0)</f>
        <v/>
      </c>
      <c r="U88" s="13">
        <f>IFERROR(I88/F88*90,0)</f>
        <v/>
      </c>
      <c r="V88" s="13">
        <f>T88+U88</f>
        <v/>
      </c>
      <c r="W88" s="13">
        <f>IFERROR((H88*5+I88*3+J88*0+K88*0)/F88,0)</f>
        <v/>
      </c>
      <c r="X88" s="13">
        <f>IFERROR((2*(P88/90))+(T88/90*5)+(U88/90*3)+(O88/F88*2)+(W88*0.5),0)</f>
        <v/>
      </c>
      <c r="Y88" s="13">
        <f>IF(X88="","",X88*S88*(P88/90))</f>
        <v/>
      </c>
      <c r="Z88" s="14">
        <f>IFERROR(Y88/D88,0)</f>
        <v/>
      </c>
      <c r="AA88" s="15">
        <f>IF(P88="","",MAX(0,1-P88/90))</f>
        <v/>
      </c>
      <c r="AB88" s="13">
        <f>IFERROR(Y88*(1+0.20*W88+0.15*Z88)*(1-AA88*0.75),0)</f>
        <v/>
      </c>
      <c r="AC88" s="13">
        <f>IFERROR((T88+U88)*S88*(P88/90)*(1+0.25*(3-R88)),0)</f>
        <v/>
      </c>
      <c r="AD88" s="8" t="n"/>
    </row>
    <row r="89">
      <c r="A89" s="8" t="n"/>
      <c r="B89" s="8" t="n"/>
      <c r="C89" s="8" t="n"/>
      <c r="D89" s="9" t="n"/>
      <c r="E89" s="10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11" t="n"/>
      <c r="R89" s="12" t="n"/>
      <c r="S89" s="5">
        <f>IF(R89="","",1+(3-R89)*0.10)</f>
        <v/>
      </c>
      <c r="T89" s="13">
        <f>IFERROR(H89/F89*90,0)</f>
        <v/>
      </c>
      <c r="U89" s="13">
        <f>IFERROR(I89/F89*90,0)</f>
        <v/>
      </c>
      <c r="V89" s="13">
        <f>T89+U89</f>
        <v/>
      </c>
      <c r="W89" s="13">
        <f>IFERROR((H89*5+I89*3+J89*0+K89*0)/F89,0)</f>
        <v/>
      </c>
      <c r="X89" s="13">
        <f>IFERROR((2*(P89/90))+(T89/90*5)+(U89/90*3)+(O89/F89*2)+(W89*0.5),0)</f>
        <v/>
      </c>
      <c r="Y89" s="13">
        <f>IF(X89="","",X89*S89*(P89/90))</f>
        <v/>
      </c>
      <c r="Z89" s="14">
        <f>IFERROR(Y89/D89,0)</f>
        <v/>
      </c>
      <c r="AA89" s="15">
        <f>IF(P89="","",MAX(0,1-P89/90))</f>
        <v/>
      </c>
      <c r="AB89" s="13">
        <f>IFERROR(Y89*(1+0.20*W89+0.15*Z89)*(1-AA89*0.75),0)</f>
        <v/>
      </c>
      <c r="AC89" s="13">
        <f>IFERROR((T89+U89)*S89*(P89/90)*(1+0.25*(3-R89)),0)</f>
        <v/>
      </c>
      <c r="AD89" s="8" t="n"/>
    </row>
    <row r="90">
      <c r="A90" s="8" t="n"/>
      <c r="B90" s="8" t="n"/>
      <c r="C90" s="8" t="n"/>
      <c r="D90" s="9" t="n"/>
      <c r="E90" s="10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11" t="n"/>
      <c r="R90" s="12" t="n"/>
      <c r="S90" s="5">
        <f>IF(R90="","",1+(3-R90)*0.10)</f>
        <v/>
      </c>
      <c r="T90" s="13">
        <f>IFERROR(H90/F90*90,0)</f>
        <v/>
      </c>
      <c r="U90" s="13">
        <f>IFERROR(I90/F90*90,0)</f>
        <v/>
      </c>
      <c r="V90" s="13">
        <f>T90+U90</f>
        <v/>
      </c>
      <c r="W90" s="13">
        <f>IFERROR((H90*5+I90*3+J90*0+K90*0)/F90,0)</f>
        <v/>
      </c>
      <c r="X90" s="13">
        <f>IFERROR((2*(P90/90))+(T90/90*5)+(U90/90*3)+(O90/F90*2)+(W90*0.5),0)</f>
        <v/>
      </c>
      <c r="Y90" s="13">
        <f>IF(X90="","",X90*S90*(P90/90))</f>
        <v/>
      </c>
      <c r="Z90" s="14">
        <f>IFERROR(Y90/D90,0)</f>
        <v/>
      </c>
      <c r="AA90" s="15">
        <f>IF(P90="","",MAX(0,1-P90/90))</f>
        <v/>
      </c>
      <c r="AB90" s="13">
        <f>IFERROR(Y90*(1+0.20*W90+0.15*Z90)*(1-AA90*0.75),0)</f>
        <v/>
      </c>
      <c r="AC90" s="13">
        <f>IFERROR((T90+U90)*S90*(P90/90)*(1+0.25*(3-R90)),0)</f>
        <v/>
      </c>
      <c r="AD90" s="8" t="n"/>
    </row>
    <row r="91">
      <c r="A91" s="8" t="n"/>
      <c r="B91" s="8" t="n"/>
      <c r="C91" s="8" t="n"/>
      <c r="D91" s="9" t="n"/>
      <c r="E91" s="10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11" t="n"/>
      <c r="R91" s="12" t="n"/>
      <c r="S91" s="5">
        <f>IF(R91="","",1+(3-R91)*0.10)</f>
        <v/>
      </c>
      <c r="T91" s="13">
        <f>IFERROR(H91/F91*90,0)</f>
        <v/>
      </c>
      <c r="U91" s="13">
        <f>IFERROR(I91/F91*90,0)</f>
        <v/>
      </c>
      <c r="V91" s="13">
        <f>T91+U91</f>
        <v/>
      </c>
      <c r="W91" s="13">
        <f>IFERROR((H91*5+I91*3+J91*0+K91*0)/F91,0)</f>
        <v/>
      </c>
      <c r="X91" s="13">
        <f>IFERROR((2*(P91/90))+(T91/90*5)+(U91/90*3)+(O91/F91*2)+(W91*0.5),0)</f>
        <v/>
      </c>
      <c r="Y91" s="13">
        <f>IF(X91="","",X91*S91*(P91/90))</f>
        <v/>
      </c>
      <c r="Z91" s="14">
        <f>IFERROR(Y91/D91,0)</f>
        <v/>
      </c>
      <c r="AA91" s="15">
        <f>IF(P91="","",MAX(0,1-P91/90))</f>
        <v/>
      </c>
      <c r="AB91" s="13">
        <f>IFERROR(Y91*(1+0.20*W91+0.15*Z91)*(1-AA91*0.75),0)</f>
        <v/>
      </c>
      <c r="AC91" s="13">
        <f>IFERROR((T91+U91)*S91*(P91/90)*(1+0.25*(3-R91)),0)</f>
        <v/>
      </c>
      <c r="AD91" s="8" t="n"/>
    </row>
    <row r="92">
      <c r="A92" s="8" t="n"/>
      <c r="B92" s="8" t="n"/>
      <c r="C92" s="8" t="n"/>
      <c r="D92" s="9" t="n"/>
      <c r="E92" s="10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11" t="n"/>
      <c r="R92" s="12" t="n"/>
      <c r="S92" s="5">
        <f>IF(R92="","",1+(3-R92)*0.10)</f>
        <v/>
      </c>
      <c r="T92" s="13">
        <f>IFERROR(H92/F92*90,0)</f>
        <v/>
      </c>
      <c r="U92" s="13">
        <f>IFERROR(I92/F92*90,0)</f>
        <v/>
      </c>
      <c r="V92" s="13">
        <f>T92+U92</f>
        <v/>
      </c>
      <c r="W92" s="13">
        <f>IFERROR((H92*5+I92*3+J92*0+K92*0)/F92,0)</f>
        <v/>
      </c>
      <c r="X92" s="13">
        <f>IFERROR((2*(P92/90))+(T92/90*5)+(U92/90*3)+(O92/F92*2)+(W92*0.5),0)</f>
        <v/>
      </c>
      <c r="Y92" s="13">
        <f>IF(X92="","",X92*S92*(P92/90))</f>
        <v/>
      </c>
      <c r="Z92" s="14">
        <f>IFERROR(Y92/D92,0)</f>
        <v/>
      </c>
      <c r="AA92" s="15">
        <f>IF(P92="","",MAX(0,1-P92/90))</f>
        <v/>
      </c>
      <c r="AB92" s="13">
        <f>IFERROR(Y92*(1+0.20*W92+0.15*Z92)*(1-AA92*0.75),0)</f>
        <v/>
      </c>
      <c r="AC92" s="13">
        <f>IFERROR((T92+U92)*S92*(P92/90)*(1+0.25*(3-R92)),0)</f>
        <v/>
      </c>
      <c r="AD92" s="8" t="n"/>
    </row>
    <row r="93">
      <c r="A93" s="8" t="n"/>
      <c r="B93" s="8" t="n"/>
      <c r="C93" s="8" t="n"/>
      <c r="D93" s="9" t="n"/>
      <c r="E93" s="10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11" t="n"/>
      <c r="R93" s="12" t="n"/>
      <c r="S93" s="5">
        <f>IF(R93="","",1+(3-R93)*0.10)</f>
        <v/>
      </c>
      <c r="T93" s="13">
        <f>IFERROR(H93/F93*90,0)</f>
        <v/>
      </c>
      <c r="U93" s="13">
        <f>IFERROR(I93/F93*90,0)</f>
        <v/>
      </c>
      <c r="V93" s="13">
        <f>T93+U93</f>
        <v/>
      </c>
      <c r="W93" s="13">
        <f>IFERROR((H93*5+I93*3+J93*0+K93*0)/F93,0)</f>
        <v/>
      </c>
      <c r="X93" s="13">
        <f>IFERROR((2*(P93/90))+(T93/90*5)+(U93/90*3)+(O93/F93*2)+(W93*0.5),0)</f>
        <v/>
      </c>
      <c r="Y93" s="13">
        <f>IF(X93="","",X93*S93*(P93/90))</f>
        <v/>
      </c>
      <c r="Z93" s="14">
        <f>IFERROR(Y93/D93,0)</f>
        <v/>
      </c>
      <c r="AA93" s="15">
        <f>IF(P93="","",MAX(0,1-P93/90))</f>
        <v/>
      </c>
      <c r="AB93" s="13">
        <f>IFERROR(Y93*(1+0.20*W93+0.15*Z93)*(1-AA93*0.75),0)</f>
        <v/>
      </c>
      <c r="AC93" s="13">
        <f>IFERROR((T93+U93)*S93*(P93/90)*(1+0.25*(3-R93)),0)</f>
        <v/>
      </c>
      <c r="AD93" s="8" t="n"/>
    </row>
    <row r="94">
      <c r="A94" s="8" t="n"/>
      <c r="B94" s="8" t="n"/>
      <c r="C94" s="8" t="n"/>
      <c r="D94" s="9" t="n"/>
      <c r="E94" s="10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11" t="n"/>
      <c r="R94" s="12" t="n"/>
      <c r="S94" s="5">
        <f>IF(R94="","",1+(3-R94)*0.10)</f>
        <v/>
      </c>
      <c r="T94" s="13">
        <f>IFERROR(H94/F94*90,0)</f>
        <v/>
      </c>
      <c r="U94" s="13">
        <f>IFERROR(I94/F94*90,0)</f>
        <v/>
      </c>
      <c r="V94" s="13">
        <f>T94+U94</f>
        <v/>
      </c>
      <c r="W94" s="13">
        <f>IFERROR((H94*5+I94*3+J94*0+K94*0)/F94,0)</f>
        <v/>
      </c>
      <c r="X94" s="13">
        <f>IFERROR((2*(P94/90))+(T94/90*5)+(U94/90*3)+(O94/F94*2)+(W94*0.5),0)</f>
        <v/>
      </c>
      <c r="Y94" s="13">
        <f>IF(X94="","",X94*S94*(P94/90))</f>
        <v/>
      </c>
      <c r="Z94" s="14">
        <f>IFERROR(Y94/D94,0)</f>
        <v/>
      </c>
      <c r="AA94" s="15">
        <f>IF(P94="","",MAX(0,1-P94/90))</f>
        <v/>
      </c>
      <c r="AB94" s="13">
        <f>IFERROR(Y94*(1+0.20*W94+0.15*Z94)*(1-AA94*0.75),0)</f>
        <v/>
      </c>
      <c r="AC94" s="13">
        <f>IFERROR((T94+U94)*S94*(P94/90)*(1+0.25*(3-R94)),0)</f>
        <v/>
      </c>
      <c r="AD94" s="8" t="n"/>
    </row>
    <row r="95">
      <c r="A95" s="8" t="n"/>
      <c r="B95" s="8" t="n"/>
      <c r="C95" s="8" t="n"/>
      <c r="D95" s="9" t="n"/>
      <c r="E95" s="10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11" t="n"/>
      <c r="R95" s="12" t="n"/>
      <c r="S95" s="5">
        <f>IF(R95="","",1+(3-R95)*0.10)</f>
        <v/>
      </c>
      <c r="T95" s="13">
        <f>IFERROR(H95/F95*90,0)</f>
        <v/>
      </c>
      <c r="U95" s="13">
        <f>IFERROR(I95/F95*90,0)</f>
        <v/>
      </c>
      <c r="V95" s="13">
        <f>T95+U95</f>
        <v/>
      </c>
      <c r="W95" s="13">
        <f>IFERROR((H95*5+I95*3+J95*0+K95*0)/F95,0)</f>
        <v/>
      </c>
      <c r="X95" s="13">
        <f>IFERROR((2*(P95/90))+(T95/90*5)+(U95/90*3)+(O95/F95*2)+(W95*0.5),0)</f>
        <v/>
      </c>
      <c r="Y95" s="13">
        <f>IF(X95="","",X95*S95*(P95/90))</f>
        <v/>
      </c>
      <c r="Z95" s="14">
        <f>IFERROR(Y95/D95,0)</f>
        <v/>
      </c>
      <c r="AA95" s="15">
        <f>IF(P95="","",MAX(0,1-P95/90))</f>
        <v/>
      </c>
      <c r="AB95" s="13">
        <f>IFERROR(Y95*(1+0.20*W95+0.15*Z95)*(1-AA95*0.75),0)</f>
        <v/>
      </c>
      <c r="AC95" s="13">
        <f>IFERROR((T95+U95)*S95*(P95/90)*(1+0.25*(3-R95)),0)</f>
        <v/>
      </c>
      <c r="AD95" s="8" t="n"/>
    </row>
    <row r="96">
      <c r="A96" s="8" t="n"/>
      <c r="B96" s="8" t="n"/>
      <c r="C96" s="8" t="n"/>
      <c r="D96" s="9" t="n"/>
      <c r="E96" s="10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11" t="n"/>
      <c r="R96" s="12" t="n"/>
      <c r="S96" s="5">
        <f>IF(R96="","",1+(3-R96)*0.10)</f>
        <v/>
      </c>
      <c r="T96" s="13">
        <f>IFERROR(H96/F96*90,0)</f>
        <v/>
      </c>
      <c r="U96" s="13">
        <f>IFERROR(I96/F96*90,0)</f>
        <v/>
      </c>
      <c r="V96" s="13">
        <f>T96+U96</f>
        <v/>
      </c>
      <c r="W96" s="13">
        <f>IFERROR((H96*5+I96*3+J96*0+K96*0)/F96,0)</f>
        <v/>
      </c>
      <c r="X96" s="13">
        <f>IFERROR((2*(P96/90))+(T96/90*5)+(U96/90*3)+(O96/F96*2)+(W96*0.5),0)</f>
        <v/>
      </c>
      <c r="Y96" s="13">
        <f>IF(X96="","",X96*S96*(P96/90))</f>
        <v/>
      </c>
      <c r="Z96" s="14">
        <f>IFERROR(Y96/D96,0)</f>
        <v/>
      </c>
      <c r="AA96" s="15">
        <f>IF(P96="","",MAX(0,1-P96/90))</f>
        <v/>
      </c>
      <c r="AB96" s="13">
        <f>IFERROR(Y96*(1+0.20*W96+0.15*Z96)*(1-AA96*0.75),0)</f>
        <v/>
      </c>
      <c r="AC96" s="13">
        <f>IFERROR((T96+U96)*S96*(P96/90)*(1+0.25*(3-R96)),0)</f>
        <v/>
      </c>
      <c r="AD96" s="8" t="n"/>
    </row>
    <row r="97">
      <c r="A97" s="8" t="n"/>
      <c r="B97" s="8" t="n"/>
      <c r="C97" s="8" t="n"/>
      <c r="D97" s="9" t="n"/>
      <c r="E97" s="10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11" t="n"/>
      <c r="R97" s="12" t="n"/>
      <c r="S97" s="5">
        <f>IF(R97="","",1+(3-R97)*0.10)</f>
        <v/>
      </c>
      <c r="T97" s="13">
        <f>IFERROR(H97/F97*90,0)</f>
        <v/>
      </c>
      <c r="U97" s="13">
        <f>IFERROR(I97/F97*90,0)</f>
        <v/>
      </c>
      <c r="V97" s="13">
        <f>T97+U97</f>
        <v/>
      </c>
      <c r="W97" s="13">
        <f>IFERROR((H97*5+I97*3+J97*0+K97*0)/F97,0)</f>
        <v/>
      </c>
      <c r="X97" s="13">
        <f>IFERROR((2*(P97/90))+(T97/90*5)+(U97/90*3)+(O97/F97*2)+(W97*0.5),0)</f>
        <v/>
      </c>
      <c r="Y97" s="13">
        <f>IF(X97="","",X97*S97*(P97/90))</f>
        <v/>
      </c>
      <c r="Z97" s="14">
        <f>IFERROR(Y97/D97,0)</f>
        <v/>
      </c>
      <c r="AA97" s="15">
        <f>IF(P97="","",MAX(0,1-P97/90))</f>
        <v/>
      </c>
      <c r="AB97" s="13">
        <f>IFERROR(Y97*(1+0.20*W97+0.15*Z97)*(1-AA97*0.75),0)</f>
        <v/>
      </c>
      <c r="AC97" s="13">
        <f>IFERROR((T97+U97)*S97*(P97/90)*(1+0.25*(3-R97)),0)</f>
        <v/>
      </c>
      <c r="AD97" s="8" t="n"/>
    </row>
    <row r="98">
      <c r="A98" s="8" t="n"/>
      <c r="B98" s="8" t="n"/>
      <c r="C98" s="8" t="n"/>
      <c r="D98" s="9" t="n"/>
      <c r="E98" s="10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11" t="n"/>
      <c r="R98" s="12" t="n"/>
      <c r="S98" s="5">
        <f>IF(R98="","",1+(3-R98)*0.10)</f>
        <v/>
      </c>
      <c r="T98" s="13">
        <f>IFERROR(H98/F98*90,0)</f>
        <v/>
      </c>
      <c r="U98" s="13">
        <f>IFERROR(I98/F98*90,0)</f>
        <v/>
      </c>
      <c r="V98" s="13">
        <f>T98+U98</f>
        <v/>
      </c>
      <c r="W98" s="13">
        <f>IFERROR((H98*5+I98*3+J98*0+K98*0)/F98,0)</f>
        <v/>
      </c>
      <c r="X98" s="13">
        <f>IFERROR((2*(P98/90))+(T98/90*5)+(U98/90*3)+(O98/F98*2)+(W98*0.5),0)</f>
        <v/>
      </c>
      <c r="Y98" s="13">
        <f>IF(X98="","",X98*S98*(P98/90))</f>
        <v/>
      </c>
      <c r="Z98" s="14">
        <f>IFERROR(Y98/D98,0)</f>
        <v/>
      </c>
      <c r="AA98" s="15">
        <f>IF(P98="","",MAX(0,1-P98/90))</f>
        <v/>
      </c>
      <c r="AB98" s="13">
        <f>IFERROR(Y98*(1+0.20*W98+0.15*Z98)*(1-AA98*0.75),0)</f>
        <v/>
      </c>
      <c r="AC98" s="13">
        <f>IFERROR((T98+U98)*S98*(P98/90)*(1+0.25*(3-R98)),0)</f>
        <v/>
      </c>
      <c r="AD98" s="8" t="n"/>
    </row>
    <row r="99">
      <c r="A99" s="8" t="n"/>
      <c r="B99" s="8" t="n"/>
      <c r="C99" s="8" t="n"/>
      <c r="D99" s="9" t="n"/>
      <c r="E99" s="10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11" t="n"/>
      <c r="R99" s="12" t="n"/>
      <c r="S99" s="5">
        <f>IF(R99="","",1+(3-R99)*0.10)</f>
        <v/>
      </c>
      <c r="T99" s="13">
        <f>IFERROR(H99/F99*90,0)</f>
        <v/>
      </c>
      <c r="U99" s="13">
        <f>IFERROR(I99/F99*90,0)</f>
        <v/>
      </c>
      <c r="V99" s="13">
        <f>T99+U99</f>
        <v/>
      </c>
      <c r="W99" s="13">
        <f>IFERROR((H99*5+I99*3+J99*0+K99*0)/F99,0)</f>
        <v/>
      </c>
      <c r="X99" s="13">
        <f>IFERROR((2*(P99/90))+(T99/90*5)+(U99/90*3)+(O99/F99*2)+(W99*0.5),0)</f>
        <v/>
      </c>
      <c r="Y99" s="13">
        <f>IF(X99="","",X99*S99*(P99/90))</f>
        <v/>
      </c>
      <c r="Z99" s="14">
        <f>IFERROR(Y99/D99,0)</f>
        <v/>
      </c>
      <c r="AA99" s="15">
        <f>IF(P99="","",MAX(0,1-P99/90))</f>
        <v/>
      </c>
      <c r="AB99" s="13">
        <f>IFERROR(Y99*(1+0.20*W99+0.15*Z99)*(1-AA99*0.75),0)</f>
        <v/>
      </c>
      <c r="AC99" s="13">
        <f>IFERROR((T99+U99)*S99*(P99/90)*(1+0.25*(3-R99)),0)</f>
        <v/>
      </c>
      <c r="AD99" s="8" t="n"/>
    </row>
    <row r="100">
      <c r="A100" s="8" t="n"/>
      <c r="B100" s="8" t="n"/>
      <c r="C100" s="8" t="n"/>
      <c r="D100" s="9" t="n"/>
      <c r="E100" s="10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11" t="n"/>
      <c r="R100" s="12" t="n"/>
      <c r="S100" s="5">
        <f>IF(R100="","",1+(3-R100)*0.10)</f>
        <v/>
      </c>
      <c r="T100" s="13">
        <f>IFERROR(H100/F100*90,0)</f>
        <v/>
      </c>
      <c r="U100" s="13">
        <f>IFERROR(I100/F100*90,0)</f>
        <v/>
      </c>
      <c r="V100" s="13">
        <f>T100+U100</f>
        <v/>
      </c>
      <c r="W100" s="13">
        <f>IFERROR((H100*5+I100*3+J100*0+K100*0)/F100,0)</f>
        <v/>
      </c>
      <c r="X100" s="13">
        <f>IFERROR((2*(P100/90))+(T100/90*5)+(U100/90*3)+(O100/F100*2)+(W100*0.5),0)</f>
        <v/>
      </c>
      <c r="Y100" s="13">
        <f>IF(X100="","",X100*S100*(P100/90))</f>
        <v/>
      </c>
      <c r="Z100" s="14">
        <f>IFERROR(Y100/D100,0)</f>
        <v/>
      </c>
      <c r="AA100" s="15">
        <f>IF(P100="","",MAX(0,1-P100/90))</f>
        <v/>
      </c>
      <c r="AB100" s="13">
        <f>IFERROR(Y100*(1+0.20*W100+0.15*Z100)*(1-AA100*0.75),0)</f>
        <v/>
      </c>
      <c r="AC100" s="13">
        <f>IFERROR((T100+U100)*S100*(P100/90)*(1+0.25*(3-R100)),0)</f>
        <v/>
      </c>
      <c r="AD100" s="8" t="n"/>
    </row>
    <row r="101">
      <c r="A101" s="8" t="n"/>
      <c r="B101" s="8" t="n"/>
      <c r="C101" s="8" t="n"/>
      <c r="D101" s="9" t="n"/>
      <c r="E101" s="10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11" t="n"/>
      <c r="R101" s="12" t="n"/>
      <c r="S101" s="5">
        <f>IF(R101="","",1+(3-R101)*0.10)</f>
        <v/>
      </c>
      <c r="T101" s="13">
        <f>IFERROR(H101/F101*90,0)</f>
        <v/>
      </c>
      <c r="U101" s="13">
        <f>IFERROR(I101/F101*90,0)</f>
        <v/>
      </c>
      <c r="V101" s="13">
        <f>T101+U101</f>
        <v/>
      </c>
      <c r="W101" s="13">
        <f>IFERROR((H101*5+I101*3+J101*0+K101*0)/F101,0)</f>
        <v/>
      </c>
      <c r="X101" s="13">
        <f>IFERROR((2*(P101/90))+(T101/90*5)+(U101/90*3)+(O101/F101*2)+(W101*0.5),0)</f>
        <v/>
      </c>
      <c r="Y101" s="13">
        <f>IF(X101="","",X101*S101*(P101/90))</f>
        <v/>
      </c>
      <c r="Z101" s="14">
        <f>IFERROR(Y101/D101,0)</f>
        <v/>
      </c>
      <c r="AA101" s="15">
        <f>IF(P101="","",MAX(0,1-P101/90))</f>
        <v/>
      </c>
      <c r="AB101" s="13">
        <f>IFERROR(Y101*(1+0.20*W101+0.15*Z101)*(1-AA101*0.75),0)</f>
        <v/>
      </c>
      <c r="AC101" s="13">
        <f>IFERROR((T101+U101)*S101*(P101/90)*(1+0.25*(3-R101)),0)</f>
        <v/>
      </c>
      <c r="AD101" s="8" t="n"/>
    </row>
    <row r="102">
      <c r="A102" s="8" t="n"/>
      <c r="B102" s="8" t="n"/>
      <c r="C102" s="8" t="n"/>
      <c r="D102" s="9" t="n"/>
      <c r="E102" s="10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11" t="n"/>
      <c r="R102" s="12" t="n"/>
      <c r="S102" s="5">
        <f>IF(R102="","",1+(3-R102)*0.10)</f>
        <v/>
      </c>
      <c r="T102" s="13">
        <f>IFERROR(H102/F102*90,0)</f>
        <v/>
      </c>
      <c r="U102" s="13">
        <f>IFERROR(I102/F102*90,0)</f>
        <v/>
      </c>
      <c r="V102" s="13">
        <f>T102+U102</f>
        <v/>
      </c>
      <c r="W102" s="13">
        <f>IFERROR((H102*5+I102*3+J102*0+K102*0)/F102,0)</f>
        <v/>
      </c>
      <c r="X102" s="13">
        <f>IFERROR((2*(P102/90))+(T102/90*5)+(U102/90*3)+(O102/F102*2)+(W102*0.5),0)</f>
        <v/>
      </c>
      <c r="Y102" s="13">
        <f>IF(X102="","",X102*S102*(P102/90))</f>
        <v/>
      </c>
      <c r="Z102" s="14">
        <f>IFERROR(Y102/D102,0)</f>
        <v/>
      </c>
      <c r="AA102" s="15">
        <f>IF(P102="","",MAX(0,1-P102/90))</f>
        <v/>
      </c>
      <c r="AB102" s="13">
        <f>IFERROR(Y102*(1+0.20*W102+0.15*Z102)*(1-AA102*0.75),0)</f>
        <v/>
      </c>
      <c r="AC102" s="13">
        <f>IFERROR((T102+U102)*S102*(P102/90)*(1+0.25*(3-R102)),0)</f>
        <v/>
      </c>
      <c r="AD102" s="8" t="n"/>
    </row>
    <row r="103">
      <c r="A103" s="8" t="n"/>
      <c r="B103" s="8" t="n"/>
      <c r="C103" s="8" t="n"/>
      <c r="D103" s="9" t="n"/>
      <c r="E103" s="10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11" t="n"/>
      <c r="R103" s="12" t="n"/>
      <c r="S103" s="5">
        <f>IF(R103="","",1+(3-R103)*0.10)</f>
        <v/>
      </c>
      <c r="T103" s="13">
        <f>IFERROR(H103/F103*90,0)</f>
        <v/>
      </c>
      <c r="U103" s="13">
        <f>IFERROR(I103/F103*90,0)</f>
        <v/>
      </c>
      <c r="V103" s="13">
        <f>T103+U103</f>
        <v/>
      </c>
      <c r="W103" s="13">
        <f>IFERROR((H103*5+I103*3+J103*0+K103*0)/F103,0)</f>
        <v/>
      </c>
      <c r="X103" s="13">
        <f>IFERROR((2*(P103/90))+(T103/90*5)+(U103/90*3)+(O103/F103*2)+(W103*0.5),0)</f>
        <v/>
      </c>
      <c r="Y103" s="13">
        <f>IF(X103="","",X103*S103*(P103/90))</f>
        <v/>
      </c>
      <c r="Z103" s="14">
        <f>IFERROR(Y103/D103,0)</f>
        <v/>
      </c>
      <c r="AA103" s="15">
        <f>IF(P103="","",MAX(0,1-P103/90))</f>
        <v/>
      </c>
      <c r="AB103" s="13">
        <f>IFERROR(Y103*(1+0.20*W103+0.15*Z103)*(1-AA103*0.75),0)</f>
        <v/>
      </c>
      <c r="AC103" s="13">
        <f>IFERROR((T103+U103)*S103*(P103/90)*(1+0.25*(3-R103)),0)</f>
        <v/>
      </c>
      <c r="AD103" s="8" t="n"/>
    </row>
    <row r="104">
      <c r="A104" s="8" t="n"/>
      <c r="B104" s="8" t="n"/>
      <c r="C104" s="8" t="n"/>
      <c r="D104" s="9" t="n"/>
      <c r="E104" s="10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11" t="n"/>
      <c r="R104" s="12" t="n"/>
      <c r="S104" s="5">
        <f>IF(R104="","",1+(3-R104)*0.10)</f>
        <v/>
      </c>
      <c r="T104" s="13">
        <f>IFERROR(H104/F104*90,0)</f>
        <v/>
      </c>
      <c r="U104" s="13">
        <f>IFERROR(I104/F104*90,0)</f>
        <v/>
      </c>
      <c r="V104" s="13">
        <f>T104+U104</f>
        <v/>
      </c>
      <c r="W104" s="13">
        <f>IFERROR((H104*5+I104*3+J104*0+K104*0)/F104,0)</f>
        <v/>
      </c>
      <c r="X104" s="13">
        <f>IFERROR((2*(P104/90))+(T104/90*5)+(U104/90*3)+(O104/F104*2)+(W104*0.5),0)</f>
        <v/>
      </c>
      <c r="Y104" s="13">
        <f>IF(X104="","",X104*S104*(P104/90))</f>
        <v/>
      </c>
      <c r="Z104" s="14">
        <f>IFERROR(Y104/D104,0)</f>
        <v/>
      </c>
      <c r="AA104" s="15">
        <f>IF(P104="","",MAX(0,1-P104/90))</f>
        <v/>
      </c>
      <c r="AB104" s="13">
        <f>IFERROR(Y104*(1+0.20*W104+0.15*Z104)*(1-AA104*0.75),0)</f>
        <v/>
      </c>
      <c r="AC104" s="13">
        <f>IFERROR((T104+U104)*S104*(P104/90)*(1+0.25*(3-R104)),0)</f>
        <v/>
      </c>
      <c r="AD104" s="8" t="n"/>
    </row>
    <row r="105">
      <c r="A105" s="8" t="n"/>
      <c r="B105" s="8" t="n"/>
      <c r="C105" s="8" t="n"/>
      <c r="D105" s="9" t="n"/>
      <c r="E105" s="10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11" t="n"/>
      <c r="R105" s="12" t="n"/>
      <c r="S105" s="5">
        <f>IF(R105="","",1+(3-R105)*0.10)</f>
        <v/>
      </c>
      <c r="T105" s="13">
        <f>IFERROR(H105/F105*90,0)</f>
        <v/>
      </c>
      <c r="U105" s="13">
        <f>IFERROR(I105/F105*90,0)</f>
        <v/>
      </c>
      <c r="V105" s="13">
        <f>T105+U105</f>
        <v/>
      </c>
      <c r="W105" s="13">
        <f>IFERROR((H105*5+I105*3+J105*0+K105*0)/F105,0)</f>
        <v/>
      </c>
      <c r="X105" s="13">
        <f>IFERROR((2*(P105/90))+(T105/90*5)+(U105/90*3)+(O105/F105*2)+(W105*0.5),0)</f>
        <v/>
      </c>
      <c r="Y105" s="13">
        <f>IF(X105="","",X105*S105*(P105/90))</f>
        <v/>
      </c>
      <c r="Z105" s="14">
        <f>IFERROR(Y105/D105,0)</f>
        <v/>
      </c>
      <c r="AA105" s="15">
        <f>IF(P105="","",MAX(0,1-P105/90))</f>
        <v/>
      </c>
      <c r="AB105" s="13">
        <f>IFERROR(Y105*(1+0.20*W105+0.15*Z105)*(1-AA105*0.75),0)</f>
        <v/>
      </c>
      <c r="AC105" s="13">
        <f>IFERROR((T105+U105)*S105*(P105/90)*(1+0.25*(3-R105)),0)</f>
        <v/>
      </c>
      <c r="AD105" s="8" t="n"/>
    </row>
    <row r="106">
      <c r="A106" s="8" t="n"/>
      <c r="B106" s="8" t="n"/>
      <c r="C106" s="8" t="n"/>
      <c r="D106" s="9" t="n"/>
      <c r="E106" s="10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11" t="n"/>
      <c r="R106" s="12" t="n"/>
      <c r="S106" s="5">
        <f>IF(R106="","",1+(3-R106)*0.10)</f>
        <v/>
      </c>
      <c r="T106" s="13">
        <f>IFERROR(H106/F106*90,0)</f>
        <v/>
      </c>
      <c r="U106" s="13">
        <f>IFERROR(I106/F106*90,0)</f>
        <v/>
      </c>
      <c r="V106" s="13">
        <f>T106+U106</f>
        <v/>
      </c>
      <c r="W106" s="13">
        <f>IFERROR((H106*5+I106*3+J106*0+K106*0)/F106,0)</f>
        <v/>
      </c>
      <c r="X106" s="13">
        <f>IFERROR((2*(P106/90))+(T106/90*5)+(U106/90*3)+(O106/F106*2)+(W106*0.5),0)</f>
        <v/>
      </c>
      <c r="Y106" s="13">
        <f>IF(X106="","",X106*S106*(P106/90))</f>
        <v/>
      </c>
      <c r="Z106" s="14">
        <f>IFERROR(Y106/D106,0)</f>
        <v/>
      </c>
      <c r="AA106" s="15">
        <f>IF(P106="","",MAX(0,1-P106/90))</f>
        <v/>
      </c>
      <c r="AB106" s="13">
        <f>IFERROR(Y106*(1+0.20*W106+0.15*Z106)*(1-AA106*0.75),0)</f>
        <v/>
      </c>
      <c r="AC106" s="13">
        <f>IFERROR((T106+U106)*S106*(P106/90)*(1+0.25*(3-R106)),0)</f>
        <v/>
      </c>
      <c r="AD106" s="8" t="n"/>
    </row>
    <row r="107">
      <c r="A107" s="8" t="n"/>
      <c r="B107" s="8" t="n"/>
      <c r="C107" s="8" t="n"/>
      <c r="D107" s="9" t="n"/>
      <c r="E107" s="10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11" t="n"/>
      <c r="R107" s="12" t="n"/>
      <c r="S107" s="5">
        <f>IF(R107="","",1+(3-R107)*0.10)</f>
        <v/>
      </c>
      <c r="T107" s="13">
        <f>IFERROR(H107/F107*90,0)</f>
        <v/>
      </c>
      <c r="U107" s="13">
        <f>IFERROR(I107/F107*90,0)</f>
        <v/>
      </c>
      <c r="V107" s="13">
        <f>T107+U107</f>
        <v/>
      </c>
      <c r="W107" s="13">
        <f>IFERROR((H107*5+I107*3+J107*0+K107*0)/F107,0)</f>
        <v/>
      </c>
      <c r="X107" s="13">
        <f>IFERROR((2*(P107/90))+(T107/90*5)+(U107/90*3)+(O107/F107*2)+(W107*0.5),0)</f>
        <v/>
      </c>
      <c r="Y107" s="13">
        <f>IF(X107="","",X107*S107*(P107/90))</f>
        <v/>
      </c>
      <c r="Z107" s="14">
        <f>IFERROR(Y107/D107,0)</f>
        <v/>
      </c>
      <c r="AA107" s="15">
        <f>IF(P107="","",MAX(0,1-P107/90))</f>
        <v/>
      </c>
      <c r="AB107" s="13">
        <f>IFERROR(Y107*(1+0.20*W107+0.15*Z107)*(1-AA107*0.75),0)</f>
        <v/>
      </c>
      <c r="AC107" s="13">
        <f>IFERROR((T107+U107)*S107*(P107/90)*(1+0.25*(3-R107)),0)</f>
        <v/>
      </c>
      <c r="AD107" s="8" t="n"/>
    </row>
    <row r="108">
      <c r="A108" s="8" t="n"/>
      <c r="B108" s="8" t="n"/>
      <c r="C108" s="8" t="n"/>
      <c r="D108" s="9" t="n"/>
      <c r="E108" s="10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11" t="n"/>
      <c r="R108" s="12" t="n"/>
      <c r="S108" s="5">
        <f>IF(R108="","",1+(3-R108)*0.10)</f>
        <v/>
      </c>
      <c r="T108" s="13">
        <f>IFERROR(H108/F108*90,0)</f>
        <v/>
      </c>
      <c r="U108" s="13">
        <f>IFERROR(I108/F108*90,0)</f>
        <v/>
      </c>
      <c r="V108" s="13">
        <f>T108+U108</f>
        <v/>
      </c>
      <c r="W108" s="13">
        <f>IFERROR((H108*5+I108*3+J108*0+K108*0)/F108,0)</f>
        <v/>
      </c>
      <c r="X108" s="13">
        <f>IFERROR((2*(P108/90))+(T108/90*5)+(U108/90*3)+(O108/F108*2)+(W108*0.5),0)</f>
        <v/>
      </c>
      <c r="Y108" s="13">
        <f>IF(X108="","",X108*S108*(P108/90))</f>
        <v/>
      </c>
      <c r="Z108" s="14">
        <f>IFERROR(Y108/D108,0)</f>
        <v/>
      </c>
      <c r="AA108" s="15">
        <f>IF(P108="","",MAX(0,1-P108/90))</f>
        <v/>
      </c>
      <c r="AB108" s="13">
        <f>IFERROR(Y108*(1+0.20*W108+0.15*Z108)*(1-AA108*0.75),0)</f>
        <v/>
      </c>
      <c r="AC108" s="13">
        <f>IFERROR((T108+U108)*S108*(P108/90)*(1+0.25*(3-R108)),0)</f>
        <v/>
      </c>
      <c r="AD108" s="8" t="n"/>
    </row>
    <row r="109">
      <c r="A109" s="8" t="n"/>
      <c r="B109" s="8" t="n"/>
      <c r="C109" s="8" t="n"/>
      <c r="D109" s="9" t="n"/>
      <c r="E109" s="10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11" t="n"/>
      <c r="R109" s="12" t="n"/>
      <c r="S109" s="5">
        <f>IF(R109="","",1+(3-R109)*0.10)</f>
        <v/>
      </c>
      <c r="T109" s="13">
        <f>IFERROR(H109/F109*90,0)</f>
        <v/>
      </c>
      <c r="U109" s="13">
        <f>IFERROR(I109/F109*90,0)</f>
        <v/>
      </c>
      <c r="V109" s="13">
        <f>T109+U109</f>
        <v/>
      </c>
      <c r="W109" s="13">
        <f>IFERROR((H109*5+I109*3+J109*0+K109*0)/F109,0)</f>
        <v/>
      </c>
      <c r="X109" s="13">
        <f>IFERROR((2*(P109/90))+(T109/90*5)+(U109/90*3)+(O109/F109*2)+(W109*0.5),0)</f>
        <v/>
      </c>
      <c r="Y109" s="13">
        <f>IF(X109="","",X109*S109*(P109/90))</f>
        <v/>
      </c>
      <c r="Z109" s="14">
        <f>IFERROR(Y109/D109,0)</f>
        <v/>
      </c>
      <c r="AA109" s="15">
        <f>IF(P109="","",MAX(0,1-P109/90))</f>
        <v/>
      </c>
      <c r="AB109" s="13">
        <f>IFERROR(Y109*(1+0.20*W109+0.15*Z109)*(1-AA109*0.75),0)</f>
        <v/>
      </c>
      <c r="AC109" s="13">
        <f>IFERROR((T109+U109)*S109*(P109/90)*(1+0.25*(3-R109)),0)</f>
        <v/>
      </c>
      <c r="AD109" s="8" t="n"/>
    </row>
    <row r="110">
      <c r="A110" s="8" t="n"/>
      <c r="B110" s="8" t="n"/>
      <c r="C110" s="8" t="n"/>
      <c r="D110" s="9" t="n"/>
      <c r="E110" s="10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11" t="n"/>
      <c r="R110" s="12" t="n"/>
      <c r="S110" s="5">
        <f>IF(R110="","",1+(3-R110)*0.10)</f>
        <v/>
      </c>
      <c r="T110" s="13">
        <f>IFERROR(H110/F110*90,0)</f>
        <v/>
      </c>
      <c r="U110" s="13">
        <f>IFERROR(I110/F110*90,0)</f>
        <v/>
      </c>
      <c r="V110" s="13">
        <f>T110+U110</f>
        <v/>
      </c>
      <c r="W110" s="13">
        <f>IFERROR((H110*5+I110*3+J110*0+K110*0)/F110,0)</f>
        <v/>
      </c>
      <c r="X110" s="13">
        <f>IFERROR((2*(P110/90))+(T110/90*5)+(U110/90*3)+(O110/F110*2)+(W110*0.5),0)</f>
        <v/>
      </c>
      <c r="Y110" s="13">
        <f>IF(X110="","",X110*S110*(P110/90))</f>
        <v/>
      </c>
      <c r="Z110" s="14">
        <f>IFERROR(Y110/D110,0)</f>
        <v/>
      </c>
      <c r="AA110" s="15">
        <f>IF(P110="","",MAX(0,1-P110/90))</f>
        <v/>
      </c>
      <c r="AB110" s="13">
        <f>IFERROR(Y110*(1+0.20*W110+0.15*Z110)*(1-AA110*0.75),0)</f>
        <v/>
      </c>
      <c r="AC110" s="13">
        <f>IFERROR((T110+U110)*S110*(P110/90)*(1+0.25*(3-R110)),0)</f>
        <v/>
      </c>
      <c r="AD110" s="8" t="n"/>
    </row>
    <row r="111">
      <c r="A111" s="8" t="n"/>
      <c r="B111" s="8" t="n"/>
      <c r="C111" s="8" t="n"/>
      <c r="D111" s="9" t="n"/>
      <c r="E111" s="10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11" t="n"/>
      <c r="R111" s="12" t="n"/>
      <c r="S111" s="5">
        <f>IF(R111="","",1+(3-R111)*0.10)</f>
        <v/>
      </c>
      <c r="T111" s="13">
        <f>IFERROR(H111/F111*90,0)</f>
        <v/>
      </c>
      <c r="U111" s="13">
        <f>IFERROR(I111/F111*90,0)</f>
        <v/>
      </c>
      <c r="V111" s="13">
        <f>T111+U111</f>
        <v/>
      </c>
      <c r="W111" s="13">
        <f>IFERROR((H111*5+I111*3+J111*0+K111*0)/F111,0)</f>
        <v/>
      </c>
      <c r="X111" s="13">
        <f>IFERROR((2*(P111/90))+(T111/90*5)+(U111/90*3)+(O111/F111*2)+(W111*0.5),0)</f>
        <v/>
      </c>
      <c r="Y111" s="13">
        <f>IF(X111="","",X111*S111*(P111/90))</f>
        <v/>
      </c>
      <c r="Z111" s="14">
        <f>IFERROR(Y111/D111,0)</f>
        <v/>
      </c>
      <c r="AA111" s="15">
        <f>IF(P111="","",MAX(0,1-P111/90))</f>
        <v/>
      </c>
      <c r="AB111" s="13">
        <f>IFERROR(Y111*(1+0.20*W111+0.15*Z111)*(1-AA111*0.75),0)</f>
        <v/>
      </c>
      <c r="AC111" s="13">
        <f>IFERROR((T111+U111)*S111*(P111/90)*(1+0.25*(3-R111)),0)</f>
        <v/>
      </c>
      <c r="AD111" s="8" t="n"/>
    </row>
    <row r="112">
      <c r="A112" s="8" t="n"/>
      <c r="B112" s="8" t="n"/>
      <c r="C112" s="8" t="n"/>
      <c r="D112" s="9" t="n"/>
      <c r="E112" s="10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11" t="n"/>
      <c r="R112" s="12" t="n"/>
      <c r="S112" s="5">
        <f>IF(R112="","",1+(3-R112)*0.10)</f>
        <v/>
      </c>
      <c r="T112" s="13">
        <f>IFERROR(H112/F112*90,0)</f>
        <v/>
      </c>
      <c r="U112" s="13">
        <f>IFERROR(I112/F112*90,0)</f>
        <v/>
      </c>
      <c r="V112" s="13">
        <f>T112+U112</f>
        <v/>
      </c>
      <c r="W112" s="13">
        <f>IFERROR((H112*5+I112*3+J112*0+K112*0)/F112,0)</f>
        <v/>
      </c>
      <c r="X112" s="13">
        <f>IFERROR((2*(P112/90))+(T112/90*5)+(U112/90*3)+(O112/F112*2)+(W112*0.5),0)</f>
        <v/>
      </c>
      <c r="Y112" s="13">
        <f>IF(X112="","",X112*S112*(P112/90))</f>
        <v/>
      </c>
      <c r="Z112" s="14">
        <f>IFERROR(Y112/D112,0)</f>
        <v/>
      </c>
      <c r="AA112" s="15">
        <f>IF(P112="","",MAX(0,1-P112/90))</f>
        <v/>
      </c>
      <c r="AB112" s="13">
        <f>IFERROR(Y112*(1+0.20*W112+0.15*Z112)*(1-AA112*0.75),0)</f>
        <v/>
      </c>
      <c r="AC112" s="13">
        <f>IFERROR((T112+U112)*S112*(P112/90)*(1+0.25*(3-R112)),0)</f>
        <v/>
      </c>
      <c r="AD112" s="8" t="n"/>
    </row>
    <row r="113">
      <c r="A113" s="8" t="n"/>
      <c r="B113" s="8" t="n"/>
      <c r="C113" s="8" t="n"/>
      <c r="D113" s="9" t="n"/>
      <c r="E113" s="10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11" t="n"/>
      <c r="R113" s="12" t="n"/>
      <c r="S113" s="5">
        <f>IF(R113="","",1+(3-R113)*0.10)</f>
        <v/>
      </c>
      <c r="T113" s="13">
        <f>IFERROR(H113/F113*90,0)</f>
        <v/>
      </c>
      <c r="U113" s="13">
        <f>IFERROR(I113/F113*90,0)</f>
        <v/>
      </c>
      <c r="V113" s="13">
        <f>T113+U113</f>
        <v/>
      </c>
      <c r="W113" s="13">
        <f>IFERROR((H113*5+I113*3+J113*0+K113*0)/F113,0)</f>
        <v/>
      </c>
      <c r="X113" s="13">
        <f>IFERROR((2*(P113/90))+(T113/90*5)+(U113/90*3)+(O113/F113*2)+(W113*0.5),0)</f>
        <v/>
      </c>
      <c r="Y113" s="13">
        <f>IF(X113="","",X113*S113*(P113/90))</f>
        <v/>
      </c>
      <c r="Z113" s="14">
        <f>IFERROR(Y113/D113,0)</f>
        <v/>
      </c>
      <c r="AA113" s="15">
        <f>IF(P113="","",MAX(0,1-P113/90))</f>
        <v/>
      </c>
      <c r="AB113" s="13">
        <f>IFERROR(Y113*(1+0.20*W113+0.15*Z113)*(1-AA113*0.75),0)</f>
        <v/>
      </c>
      <c r="AC113" s="13">
        <f>IFERROR((T113+U113)*S113*(P113/90)*(1+0.25*(3-R113)),0)</f>
        <v/>
      </c>
      <c r="AD113" s="8" t="n"/>
    </row>
    <row r="114">
      <c r="A114" s="8" t="n"/>
      <c r="B114" s="8" t="n"/>
      <c r="C114" s="8" t="n"/>
      <c r="D114" s="9" t="n"/>
      <c r="E114" s="10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11" t="n"/>
      <c r="R114" s="12" t="n"/>
      <c r="S114" s="5">
        <f>IF(R114="","",1+(3-R114)*0.10)</f>
        <v/>
      </c>
      <c r="T114" s="13">
        <f>IFERROR(H114/F114*90,0)</f>
        <v/>
      </c>
      <c r="U114" s="13">
        <f>IFERROR(I114/F114*90,0)</f>
        <v/>
      </c>
      <c r="V114" s="13">
        <f>T114+U114</f>
        <v/>
      </c>
      <c r="W114" s="13">
        <f>IFERROR((H114*5+I114*3+J114*0+K114*0)/F114,0)</f>
        <v/>
      </c>
      <c r="X114" s="13">
        <f>IFERROR((2*(P114/90))+(T114/90*5)+(U114/90*3)+(O114/F114*2)+(W114*0.5),0)</f>
        <v/>
      </c>
      <c r="Y114" s="13">
        <f>IF(X114="","",X114*S114*(P114/90))</f>
        <v/>
      </c>
      <c r="Z114" s="14">
        <f>IFERROR(Y114/D114,0)</f>
        <v/>
      </c>
      <c r="AA114" s="15">
        <f>IF(P114="","",MAX(0,1-P114/90))</f>
        <v/>
      </c>
      <c r="AB114" s="13">
        <f>IFERROR(Y114*(1+0.20*W114+0.15*Z114)*(1-AA114*0.75),0)</f>
        <v/>
      </c>
      <c r="AC114" s="13">
        <f>IFERROR((T114+U114)*S114*(P114/90)*(1+0.25*(3-R114)),0)</f>
        <v/>
      </c>
      <c r="AD114" s="8" t="n"/>
    </row>
    <row r="115">
      <c r="A115" s="8" t="n"/>
      <c r="B115" s="8" t="n"/>
      <c r="C115" s="8" t="n"/>
      <c r="D115" s="9" t="n"/>
      <c r="E115" s="10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11" t="n"/>
      <c r="R115" s="12" t="n"/>
      <c r="S115" s="5">
        <f>IF(R115="","",1+(3-R115)*0.10)</f>
        <v/>
      </c>
      <c r="T115" s="13">
        <f>IFERROR(H115/F115*90,0)</f>
        <v/>
      </c>
      <c r="U115" s="13">
        <f>IFERROR(I115/F115*90,0)</f>
        <v/>
      </c>
      <c r="V115" s="13">
        <f>T115+U115</f>
        <v/>
      </c>
      <c r="W115" s="13">
        <f>IFERROR((H115*5+I115*3+J115*0+K115*0)/F115,0)</f>
        <v/>
      </c>
      <c r="X115" s="13">
        <f>IFERROR((2*(P115/90))+(T115/90*5)+(U115/90*3)+(O115/F115*2)+(W115*0.5),0)</f>
        <v/>
      </c>
      <c r="Y115" s="13">
        <f>IF(X115="","",X115*S115*(P115/90))</f>
        <v/>
      </c>
      <c r="Z115" s="14">
        <f>IFERROR(Y115/D115,0)</f>
        <v/>
      </c>
      <c r="AA115" s="15">
        <f>IF(P115="","",MAX(0,1-P115/90))</f>
        <v/>
      </c>
      <c r="AB115" s="13">
        <f>IFERROR(Y115*(1+0.20*W115+0.15*Z115)*(1-AA115*0.75),0)</f>
        <v/>
      </c>
      <c r="AC115" s="13">
        <f>IFERROR((T115+U115)*S115*(P115/90)*(1+0.25*(3-R115)),0)</f>
        <v/>
      </c>
      <c r="AD115" s="8" t="n"/>
    </row>
    <row r="116">
      <c r="A116" s="8" t="n"/>
      <c r="B116" s="8" t="n"/>
      <c r="C116" s="8" t="n"/>
      <c r="D116" s="9" t="n"/>
      <c r="E116" s="10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11" t="n"/>
      <c r="R116" s="12" t="n"/>
      <c r="S116" s="5">
        <f>IF(R116="","",1+(3-R116)*0.10)</f>
        <v/>
      </c>
      <c r="T116" s="13">
        <f>IFERROR(H116/F116*90,0)</f>
        <v/>
      </c>
      <c r="U116" s="13">
        <f>IFERROR(I116/F116*90,0)</f>
        <v/>
      </c>
      <c r="V116" s="13">
        <f>T116+U116</f>
        <v/>
      </c>
      <c r="W116" s="13">
        <f>IFERROR((H116*5+I116*3+J116*0+K116*0)/F116,0)</f>
        <v/>
      </c>
      <c r="X116" s="13">
        <f>IFERROR((2*(P116/90))+(T116/90*5)+(U116/90*3)+(O116/F116*2)+(W116*0.5),0)</f>
        <v/>
      </c>
      <c r="Y116" s="13">
        <f>IF(X116="","",X116*S116*(P116/90))</f>
        <v/>
      </c>
      <c r="Z116" s="14">
        <f>IFERROR(Y116/D116,0)</f>
        <v/>
      </c>
      <c r="AA116" s="15">
        <f>IF(P116="","",MAX(0,1-P116/90))</f>
        <v/>
      </c>
      <c r="AB116" s="13">
        <f>IFERROR(Y116*(1+0.20*W116+0.15*Z116)*(1-AA116*0.75),0)</f>
        <v/>
      </c>
      <c r="AC116" s="13">
        <f>IFERROR((T116+U116)*S116*(P116/90)*(1+0.25*(3-R116)),0)</f>
        <v/>
      </c>
      <c r="AD116" s="8" t="n"/>
    </row>
    <row r="117">
      <c r="A117" s="8" t="n"/>
      <c r="B117" s="8" t="n"/>
      <c r="C117" s="8" t="n"/>
      <c r="D117" s="9" t="n"/>
      <c r="E117" s="10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11" t="n"/>
      <c r="R117" s="12" t="n"/>
      <c r="S117" s="5">
        <f>IF(R117="","",1+(3-R117)*0.10)</f>
        <v/>
      </c>
      <c r="T117" s="13">
        <f>IFERROR(H117/F117*90,0)</f>
        <v/>
      </c>
      <c r="U117" s="13">
        <f>IFERROR(I117/F117*90,0)</f>
        <v/>
      </c>
      <c r="V117" s="13">
        <f>T117+U117</f>
        <v/>
      </c>
      <c r="W117" s="13">
        <f>IFERROR((H117*5+I117*3+J117*0+K117*0)/F117,0)</f>
        <v/>
      </c>
      <c r="X117" s="13">
        <f>IFERROR((2*(P117/90))+(T117/90*5)+(U117/90*3)+(O117/F117*2)+(W117*0.5),0)</f>
        <v/>
      </c>
      <c r="Y117" s="13">
        <f>IF(X117="","",X117*S117*(P117/90))</f>
        <v/>
      </c>
      <c r="Z117" s="14">
        <f>IFERROR(Y117/D117,0)</f>
        <v/>
      </c>
      <c r="AA117" s="15">
        <f>IF(P117="","",MAX(0,1-P117/90))</f>
        <v/>
      </c>
      <c r="AB117" s="13">
        <f>IFERROR(Y117*(1+0.20*W117+0.15*Z117)*(1-AA117*0.75),0)</f>
        <v/>
      </c>
      <c r="AC117" s="13">
        <f>IFERROR((T117+U117)*S117*(P117/90)*(1+0.25*(3-R117)),0)</f>
        <v/>
      </c>
      <c r="AD117" s="8" t="n"/>
    </row>
    <row r="118">
      <c r="A118" s="8" t="n"/>
      <c r="B118" s="8" t="n"/>
      <c r="C118" s="8" t="n"/>
      <c r="D118" s="9" t="n"/>
      <c r="E118" s="10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11" t="n"/>
      <c r="R118" s="12" t="n"/>
      <c r="S118" s="5">
        <f>IF(R118="","",1+(3-R118)*0.10)</f>
        <v/>
      </c>
      <c r="T118" s="13">
        <f>IFERROR(H118/F118*90,0)</f>
        <v/>
      </c>
      <c r="U118" s="13">
        <f>IFERROR(I118/F118*90,0)</f>
        <v/>
      </c>
      <c r="V118" s="13">
        <f>T118+U118</f>
        <v/>
      </c>
      <c r="W118" s="13">
        <f>IFERROR((H118*5+I118*3+J118*0+K118*0)/F118,0)</f>
        <v/>
      </c>
      <c r="X118" s="13">
        <f>IFERROR((2*(P118/90))+(T118/90*5)+(U118/90*3)+(O118/F118*2)+(W118*0.5),0)</f>
        <v/>
      </c>
      <c r="Y118" s="13">
        <f>IF(X118="","",X118*S118*(P118/90))</f>
        <v/>
      </c>
      <c r="Z118" s="14">
        <f>IFERROR(Y118/D118,0)</f>
        <v/>
      </c>
      <c r="AA118" s="15">
        <f>IF(P118="","",MAX(0,1-P118/90))</f>
        <v/>
      </c>
      <c r="AB118" s="13">
        <f>IFERROR(Y118*(1+0.20*W118+0.15*Z118)*(1-AA118*0.75),0)</f>
        <v/>
      </c>
      <c r="AC118" s="13">
        <f>IFERROR((T118+U118)*S118*(P118/90)*(1+0.25*(3-R118)),0)</f>
        <v/>
      </c>
      <c r="AD118" s="8" t="n"/>
    </row>
    <row r="119">
      <c r="A119" s="8" t="n"/>
      <c r="B119" s="8" t="n"/>
      <c r="C119" s="8" t="n"/>
      <c r="D119" s="9" t="n"/>
      <c r="E119" s="10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11" t="n"/>
      <c r="R119" s="12" t="n"/>
      <c r="S119" s="5">
        <f>IF(R119="","",1+(3-R119)*0.10)</f>
        <v/>
      </c>
      <c r="T119" s="13">
        <f>IFERROR(H119/F119*90,0)</f>
        <v/>
      </c>
      <c r="U119" s="13">
        <f>IFERROR(I119/F119*90,0)</f>
        <v/>
      </c>
      <c r="V119" s="13">
        <f>T119+U119</f>
        <v/>
      </c>
      <c r="W119" s="13">
        <f>IFERROR((H119*5+I119*3+J119*0+K119*0)/F119,0)</f>
        <v/>
      </c>
      <c r="X119" s="13">
        <f>IFERROR((2*(P119/90))+(T119/90*5)+(U119/90*3)+(O119/F119*2)+(W119*0.5),0)</f>
        <v/>
      </c>
      <c r="Y119" s="13">
        <f>IF(X119="","",X119*S119*(P119/90))</f>
        <v/>
      </c>
      <c r="Z119" s="14">
        <f>IFERROR(Y119/D119,0)</f>
        <v/>
      </c>
      <c r="AA119" s="15">
        <f>IF(P119="","",MAX(0,1-P119/90))</f>
        <v/>
      </c>
      <c r="AB119" s="13">
        <f>IFERROR(Y119*(1+0.20*W119+0.15*Z119)*(1-AA119*0.75),0)</f>
        <v/>
      </c>
      <c r="AC119" s="13">
        <f>IFERROR((T119+U119)*S119*(P119/90)*(1+0.25*(3-R119)),0)</f>
        <v/>
      </c>
      <c r="AD119" s="8" t="n"/>
    </row>
    <row r="120">
      <c r="A120" s="8" t="n"/>
      <c r="B120" s="8" t="n"/>
      <c r="C120" s="8" t="n"/>
      <c r="D120" s="9" t="n"/>
      <c r="E120" s="10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11" t="n"/>
      <c r="R120" s="12" t="n"/>
      <c r="S120" s="5">
        <f>IF(R120="","",1+(3-R120)*0.10)</f>
        <v/>
      </c>
      <c r="T120" s="13">
        <f>IFERROR(H120/F120*90,0)</f>
        <v/>
      </c>
      <c r="U120" s="13">
        <f>IFERROR(I120/F120*90,0)</f>
        <v/>
      </c>
      <c r="V120" s="13">
        <f>T120+U120</f>
        <v/>
      </c>
      <c r="W120" s="13">
        <f>IFERROR((H120*5+I120*3+J120*0+K120*0)/F120,0)</f>
        <v/>
      </c>
      <c r="X120" s="13">
        <f>IFERROR((2*(P120/90))+(T120/90*5)+(U120/90*3)+(O120/F120*2)+(W120*0.5),0)</f>
        <v/>
      </c>
      <c r="Y120" s="13">
        <f>IF(X120="","",X120*S120*(P120/90))</f>
        <v/>
      </c>
      <c r="Z120" s="14">
        <f>IFERROR(Y120/D120,0)</f>
        <v/>
      </c>
      <c r="AA120" s="15">
        <f>IF(P120="","",MAX(0,1-P120/90))</f>
        <v/>
      </c>
      <c r="AB120" s="13">
        <f>IFERROR(Y120*(1+0.20*W120+0.15*Z120)*(1-AA120*0.75),0)</f>
        <v/>
      </c>
      <c r="AC120" s="13">
        <f>IFERROR((T120+U120)*S120*(P120/90)*(1+0.25*(3-R120)),0)</f>
        <v/>
      </c>
      <c r="AD120" s="8" t="n"/>
    </row>
    <row r="121">
      <c r="A121" s="8" t="n"/>
      <c r="B121" s="8" t="n"/>
      <c r="C121" s="8" t="n"/>
      <c r="D121" s="9" t="n"/>
      <c r="E121" s="10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11" t="n"/>
      <c r="R121" s="12" t="n"/>
      <c r="S121" s="5">
        <f>IF(R121="","",1+(3-R121)*0.10)</f>
        <v/>
      </c>
      <c r="T121" s="13">
        <f>IFERROR(H121/F121*90,0)</f>
        <v/>
      </c>
      <c r="U121" s="13">
        <f>IFERROR(I121/F121*90,0)</f>
        <v/>
      </c>
      <c r="V121" s="13">
        <f>T121+U121</f>
        <v/>
      </c>
      <c r="W121" s="13">
        <f>IFERROR((H121*5+I121*3+J121*0+K121*0)/F121,0)</f>
        <v/>
      </c>
      <c r="X121" s="13">
        <f>IFERROR((2*(P121/90))+(T121/90*5)+(U121/90*3)+(O121/F121*2)+(W121*0.5),0)</f>
        <v/>
      </c>
      <c r="Y121" s="13">
        <f>IF(X121="","",X121*S121*(P121/90))</f>
        <v/>
      </c>
      <c r="Z121" s="14">
        <f>IFERROR(Y121/D121,0)</f>
        <v/>
      </c>
      <c r="AA121" s="15">
        <f>IF(P121="","",MAX(0,1-P121/90))</f>
        <v/>
      </c>
      <c r="AB121" s="13">
        <f>IFERROR(Y121*(1+0.20*W121+0.15*Z121)*(1-AA121*0.75),0)</f>
        <v/>
      </c>
      <c r="AC121" s="13">
        <f>IFERROR((T121+U121)*S121*(P121/90)*(1+0.25*(3-R121)),0)</f>
        <v/>
      </c>
      <c r="AD121" s="8" t="n"/>
    </row>
    <row r="122">
      <c r="A122" s="8" t="n"/>
      <c r="B122" s="8" t="n"/>
      <c r="C122" s="8" t="n"/>
      <c r="D122" s="9" t="n"/>
      <c r="E122" s="10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11" t="n"/>
      <c r="R122" s="12" t="n"/>
      <c r="S122" s="5">
        <f>IF(R122="","",1+(3-R122)*0.10)</f>
        <v/>
      </c>
      <c r="T122" s="13">
        <f>IFERROR(H122/F122*90,0)</f>
        <v/>
      </c>
      <c r="U122" s="13">
        <f>IFERROR(I122/F122*90,0)</f>
        <v/>
      </c>
      <c r="V122" s="13">
        <f>T122+U122</f>
        <v/>
      </c>
      <c r="W122" s="13">
        <f>IFERROR((H122*5+I122*3+J122*0+K122*0)/F122,0)</f>
        <v/>
      </c>
      <c r="X122" s="13">
        <f>IFERROR((2*(P122/90))+(T122/90*5)+(U122/90*3)+(O122/F122*2)+(W122*0.5),0)</f>
        <v/>
      </c>
      <c r="Y122" s="13">
        <f>IF(X122="","",X122*S122*(P122/90))</f>
        <v/>
      </c>
      <c r="Z122" s="14">
        <f>IFERROR(Y122/D122,0)</f>
        <v/>
      </c>
      <c r="AA122" s="15">
        <f>IF(P122="","",MAX(0,1-P122/90))</f>
        <v/>
      </c>
      <c r="AB122" s="13">
        <f>IFERROR(Y122*(1+0.20*W122+0.15*Z122)*(1-AA122*0.75),0)</f>
        <v/>
      </c>
      <c r="AC122" s="13">
        <f>IFERROR((T122+U122)*S122*(P122/90)*(1+0.25*(3-R122)),0)</f>
        <v/>
      </c>
      <c r="AD122" s="8" t="n"/>
    </row>
    <row r="123">
      <c r="A123" s="8" t="n"/>
      <c r="B123" s="8" t="n"/>
      <c r="C123" s="8" t="n"/>
      <c r="D123" s="9" t="n"/>
      <c r="E123" s="10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11" t="n"/>
      <c r="R123" s="12" t="n"/>
      <c r="S123" s="5">
        <f>IF(R123="","",1+(3-R123)*0.10)</f>
        <v/>
      </c>
      <c r="T123" s="13">
        <f>IFERROR(H123/F123*90,0)</f>
        <v/>
      </c>
      <c r="U123" s="13">
        <f>IFERROR(I123/F123*90,0)</f>
        <v/>
      </c>
      <c r="V123" s="13">
        <f>T123+U123</f>
        <v/>
      </c>
      <c r="W123" s="13">
        <f>IFERROR((H123*5+I123*3+J123*0+K123*0)/F123,0)</f>
        <v/>
      </c>
      <c r="X123" s="13">
        <f>IFERROR((2*(P123/90))+(T123/90*5)+(U123/90*3)+(O123/F123*2)+(W123*0.5),0)</f>
        <v/>
      </c>
      <c r="Y123" s="13">
        <f>IF(X123="","",X123*S123*(P123/90))</f>
        <v/>
      </c>
      <c r="Z123" s="14">
        <f>IFERROR(Y123/D123,0)</f>
        <v/>
      </c>
      <c r="AA123" s="15">
        <f>IF(P123="","",MAX(0,1-P123/90))</f>
        <v/>
      </c>
      <c r="AB123" s="13">
        <f>IFERROR(Y123*(1+0.20*W123+0.15*Z123)*(1-AA123*0.75),0)</f>
        <v/>
      </c>
      <c r="AC123" s="13">
        <f>IFERROR((T123+U123)*S123*(P123/90)*(1+0.25*(3-R123)),0)</f>
        <v/>
      </c>
      <c r="AD123" s="8" t="n"/>
    </row>
    <row r="124">
      <c r="A124" s="8" t="n"/>
      <c r="B124" s="8" t="n"/>
      <c r="C124" s="8" t="n"/>
      <c r="D124" s="9" t="n"/>
      <c r="E124" s="10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11" t="n"/>
      <c r="R124" s="12" t="n"/>
      <c r="S124" s="5">
        <f>IF(R124="","",1+(3-R124)*0.10)</f>
        <v/>
      </c>
      <c r="T124" s="13">
        <f>IFERROR(H124/F124*90,0)</f>
        <v/>
      </c>
      <c r="U124" s="13">
        <f>IFERROR(I124/F124*90,0)</f>
        <v/>
      </c>
      <c r="V124" s="13">
        <f>T124+U124</f>
        <v/>
      </c>
      <c r="W124" s="13">
        <f>IFERROR((H124*5+I124*3+J124*0+K124*0)/F124,0)</f>
        <v/>
      </c>
      <c r="X124" s="13">
        <f>IFERROR((2*(P124/90))+(T124/90*5)+(U124/90*3)+(O124/F124*2)+(W124*0.5),0)</f>
        <v/>
      </c>
      <c r="Y124" s="13">
        <f>IF(X124="","",X124*S124*(P124/90))</f>
        <v/>
      </c>
      <c r="Z124" s="14">
        <f>IFERROR(Y124/D124,0)</f>
        <v/>
      </c>
      <c r="AA124" s="15">
        <f>IF(P124="","",MAX(0,1-P124/90))</f>
        <v/>
      </c>
      <c r="AB124" s="13">
        <f>IFERROR(Y124*(1+0.20*W124+0.15*Z124)*(1-AA124*0.75),0)</f>
        <v/>
      </c>
      <c r="AC124" s="13">
        <f>IFERROR((T124+U124)*S124*(P124/90)*(1+0.25*(3-R124)),0)</f>
        <v/>
      </c>
      <c r="AD124" s="8" t="n"/>
    </row>
    <row r="125">
      <c r="A125" s="8" t="n"/>
      <c r="B125" s="8" t="n"/>
      <c r="C125" s="8" t="n"/>
      <c r="D125" s="9" t="n"/>
      <c r="E125" s="10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11" t="n"/>
      <c r="R125" s="12" t="n"/>
      <c r="S125" s="5">
        <f>IF(R125="","",1+(3-R125)*0.10)</f>
        <v/>
      </c>
      <c r="T125" s="13">
        <f>IFERROR(H125/F125*90,0)</f>
        <v/>
      </c>
      <c r="U125" s="13">
        <f>IFERROR(I125/F125*90,0)</f>
        <v/>
      </c>
      <c r="V125" s="13">
        <f>T125+U125</f>
        <v/>
      </c>
      <c r="W125" s="13">
        <f>IFERROR((H125*5+I125*3+J125*0+K125*0)/F125,0)</f>
        <v/>
      </c>
      <c r="X125" s="13">
        <f>IFERROR((2*(P125/90))+(T125/90*5)+(U125/90*3)+(O125/F125*2)+(W125*0.5),0)</f>
        <v/>
      </c>
      <c r="Y125" s="13">
        <f>IF(X125="","",X125*S125*(P125/90))</f>
        <v/>
      </c>
      <c r="Z125" s="14">
        <f>IFERROR(Y125/D125,0)</f>
        <v/>
      </c>
      <c r="AA125" s="15">
        <f>IF(P125="","",MAX(0,1-P125/90))</f>
        <v/>
      </c>
      <c r="AB125" s="13">
        <f>IFERROR(Y125*(1+0.20*W125+0.15*Z125)*(1-AA125*0.75),0)</f>
        <v/>
      </c>
      <c r="AC125" s="13">
        <f>IFERROR((T125+U125)*S125*(P125/90)*(1+0.25*(3-R125)),0)</f>
        <v/>
      </c>
      <c r="AD125" s="8" t="n"/>
    </row>
    <row r="126">
      <c r="A126" s="8" t="n"/>
      <c r="B126" s="8" t="n"/>
      <c r="C126" s="8" t="n"/>
      <c r="D126" s="9" t="n"/>
      <c r="E126" s="10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11" t="n"/>
      <c r="R126" s="12" t="n"/>
      <c r="S126" s="5">
        <f>IF(R126="","",1+(3-R126)*0.10)</f>
        <v/>
      </c>
      <c r="T126" s="13">
        <f>IFERROR(H126/F126*90,0)</f>
        <v/>
      </c>
      <c r="U126" s="13">
        <f>IFERROR(I126/F126*90,0)</f>
        <v/>
      </c>
      <c r="V126" s="13">
        <f>T126+U126</f>
        <v/>
      </c>
      <c r="W126" s="13">
        <f>IFERROR((H126*5+I126*3+J126*0+K126*0)/F126,0)</f>
        <v/>
      </c>
      <c r="X126" s="13">
        <f>IFERROR((2*(P126/90))+(T126/90*5)+(U126/90*3)+(O126/F126*2)+(W126*0.5),0)</f>
        <v/>
      </c>
      <c r="Y126" s="13">
        <f>IF(X126="","",X126*S126*(P126/90))</f>
        <v/>
      </c>
      <c r="Z126" s="14">
        <f>IFERROR(Y126/D126,0)</f>
        <v/>
      </c>
      <c r="AA126" s="15">
        <f>IF(P126="","",MAX(0,1-P126/90))</f>
        <v/>
      </c>
      <c r="AB126" s="13">
        <f>IFERROR(Y126*(1+0.20*W126+0.15*Z126)*(1-AA126*0.75),0)</f>
        <v/>
      </c>
      <c r="AC126" s="13">
        <f>IFERROR((T126+U126)*S126*(P126/90)*(1+0.25*(3-R126)),0)</f>
        <v/>
      </c>
      <c r="AD126" s="8" t="n"/>
    </row>
    <row r="127">
      <c r="A127" s="8" t="n"/>
      <c r="B127" s="8" t="n"/>
      <c r="C127" s="8" t="n"/>
      <c r="D127" s="9" t="n"/>
      <c r="E127" s="10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11" t="n"/>
      <c r="R127" s="12" t="n"/>
      <c r="S127" s="5">
        <f>IF(R127="","",1+(3-R127)*0.10)</f>
        <v/>
      </c>
      <c r="T127" s="13">
        <f>IFERROR(H127/F127*90,0)</f>
        <v/>
      </c>
      <c r="U127" s="13">
        <f>IFERROR(I127/F127*90,0)</f>
        <v/>
      </c>
      <c r="V127" s="13">
        <f>T127+U127</f>
        <v/>
      </c>
      <c r="W127" s="13">
        <f>IFERROR((H127*5+I127*3+J127*0+K127*0)/F127,0)</f>
        <v/>
      </c>
      <c r="X127" s="13">
        <f>IFERROR((2*(P127/90))+(T127/90*5)+(U127/90*3)+(O127/F127*2)+(W127*0.5),0)</f>
        <v/>
      </c>
      <c r="Y127" s="13">
        <f>IF(X127="","",X127*S127*(P127/90))</f>
        <v/>
      </c>
      <c r="Z127" s="14">
        <f>IFERROR(Y127/D127,0)</f>
        <v/>
      </c>
      <c r="AA127" s="15">
        <f>IF(P127="","",MAX(0,1-P127/90))</f>
        <v/>
      </c>
      <c r="AB127" s="13">
        <f>IFERROR(Y127*(1+0.20*W127+0.15*Z127)*(1-AA127*0.75),0)</f>
        <v/>
      </c>
      <c r="AC127" s="13">
        <f>IFERROR((T127+U127)*S127*(P127/90)*(1+0.25*(3-R127)),0)</f>
        <v/>
      </c>
      <c r="AD127" s="8" t="n"/>
    </row>
    <row r="128">
      <c r="A128" s="8" t="n"/>
      <c r="B128" s="8" t="n"/>
      <c r="C128" s="8" t="n"/>
      <c r="D128" s="9" t="n"/>
      <c r="E128" s="10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11" t="n"/>
      <c r="R128" s="12" t="n"/>
      <c r="S128" s="5">
        <f>IF(R128="","",1+(3-R128)*0.10)</f>
        <v/>
      </c>
      <c r="T128" s="13">
        <f>IFERROR(H128/F128*90,0)</f>
        <v/>
      </c>
      <c r="U128" s="13">
        <f>IFERROR(I128/F128*90,0)</f>
        <v/>
      </c>
      <c r="V128" s="13">
        <f>T128+U128</f>
        <v/>
      </c>
      <c r="W128" s="13">
        <f>IFERROR((H128*5+I128*3+J128*0+K128*0)/F128,0)</f>
        <v/>
      </c>
      <c r="X128" s="13">
        <f>IFERROR((2*(P128/90))+(T128/90*5)+(U128/90*3)+(O128/F128*2)+(W128*0.5),0)</f>
        <v/>
      </c>
      <c r="Y128" s="13">
        <f>IF(X128="","",X128*S128*(P128/90))</f>
        <v/>
      </c>
      <c r="Z128" s="14">
        <f>IFERROR(Y128/D128,0)</f>
        <v/>
      </c>
      <c r="AA128" s="15">
        <f>IF(P128="","",MAX(0,1-P128/90))</f>
        <v/>
      </c>
      <c r="AB128" s="13">
        <f>IFERROR(Y128*(1+0.20*W128+0.15*Z128)*(1-AA128*0.75),0)</f>
        <v/>
      </c>
      <c r="AC128" s="13">
        <f>IFERROR((T128+U128)*S128*(P128/90)*(1+0.25*(3-R128)),0)</f>
        <v/>
      </c>
      <c r="AD128" s="8" t="n"/>
    </row>
    <row r="129">
      <c r="A129" s="8" t="n"/>
      <c r="B129" s="8" t="n"/>
      <c r="C129" s="8" t="n"/>
      <c r="D129" s="9" t="n"/>
      <c r="E129" s="10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11" t="n"/>
      <c r="R129" s="12" t="n"/>
      <c r="S129" s="5">
        <f>IF(R129="","",1+(3-R129)*0.10)</f>
        <v/>
      </c>
      <c r="T129" s="13">
        <f>IFERROR(H129/F129*90,0)</f>
        <v/>
      </c>
      <c r="U129" s="13">
        <f>IFERROR(I129/F129*90,0)</f>
        <v/>
      </c>
      <c r="V129" s="13">
        <f>T129+U129</f>
        <v/>
      </c>
      <c r="W129" s="13">
        <f>IFERROR((H129*5+I129*3+J129*0+K129*0)/F129,0)</f>
        <v/>
      </c>
      <c r="X129" s="13">
        <f>IFERROR((2*(P129/90))+(T129/90*5)+(U129/90*3)+(O129/F129*2)+(W129*0.5),0)</f>
        <v/>
      </c>
      <c r="Y129" s="13">
        <f>IF(X129="","",X129*S129*(P129/90))</f>
        <v/>
      </c>
      <c r="Z129" s="14">
        <f>IFERROR(Y129/D129,0)</f>
        <v/>
      </c>
      <c r="AA129" s="15">
        <f>IF(P129="","",MAX(0,1-P129/90))</f>
        <v/>
      </c>
      <c r="AB129" s="13">
        <f>IFERROR(Y129*(1+0.20*W129+0.15*Z129)*(1-AA129*0.75),0)</f>
        <v/>
      </c>
      <c r="AC129" s="13">
        <f>IFERROR((T129+U129)*S129*(P129/90)*(1+0.25*(3-R129)),0)</f>
        <v/>
      </c>
      <c r="AD129" s="8" t="n"/>
    </row>
    <row r="130">
      <c r="A130" s="8" t="n"/>
      <c r="B130" s="8" t="n"/>
      <c r="C130" s="8" t="n"/>
      <c r="D130" s="9" t="n"/>
      <c r="E130" s="10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11" t="n"/>
      <c r="R130" s="12" t="n"/>
      <c r="S130" s="5">
        <f>IF(R130="","",1+(3-R130)*0.10)</f>
        <v/>
      </c>
      <c r="T130" s="13">
        <f>IFERROR(H130/F130*90,0)</f>
        <v/>
      </c>
      <c r="U130" s="13">
        <f>IFERROR(I130/F130*90,0)</f>
        <v/>
      </c>
      <c r="V130" s="13">
        <f>T130+U130</f>
        <v/>
      </c>
      <c r="W130" s="13">
        <f>IFERROR((H130*5+I130*3+J130*0+K130*0)/F130,0)</f>
        <v/>
      </c>
      <c r="X130" s="13">
        <f>IFERROR((2*(P130/90))+(T130/90*5)+(U130/90*3)+(O130/F130*2)+(W130*0.5),0)</f>
        <v/>
      </c>
      <c r="Y130" s="13">
        <f>IF(X130="","",X130*S130*(P130/90))</f>
        <v/>
      </c>
      <c r="Z130" s="14">
        <f>IFERROR(Y130/D130,0)</f>
        <v/>
      </c>
      <c r="AA130" s="15">
        <f>IF(P130="","",MAX(0,1-P130/90))</f>
        <v/>
      </c>
      <c r="AB130" s="13">
        <f>IFERROR(Y130*(1+0.20*W130+0.15*Z130)*(1-AA130*0.75),0)</f>
        <v/>
      </c>
      <c r="AC130" s="13">
        <f>IFERROR((T130+U130)*S130*(P130/90)*(1+0.25*(3-R130)),0)</f>
        <v/>
      </c>
      <c r="AD130" s="8" t="n"/>
    </row>
    <row r="131">
      <c r="A131" s="8" t="n"/>
      <c r="B131" s="8" t="n"/>
      <c r="C131" s="8" t="n"/>
      <c r="D131" s="9" t="n"/>
      <c r="E131" s="10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11" t="n"/>
      <c r="R131" s="12" t="n"/>
      <c r="S131" s="5">
        <f>IF(R131="","",1+(3-R131)*0.10)</f>
        <v/>
      </c>
      <c r="T131" s="13">
        <f>IFERROR(H131/F131*90,0)</f>
        <v/>
      </c>
      <c r="U131" s="13">
        <f>IFERROR(I131/F131*90,0)</f>
        <v/>
      </c>
      <c r="V131" s="13">
        <f>T131+U131</f>
        <v/>
      </c>
      <c r="W131" s="13">
        <f>IFERROR((H131*5+I131*3+J131*0+K131*0)/F131,0)</f>
        <v/>
      </c>
      <c r="X131" s="13">
        <f>IFERROR((2*(P131/90))+(T131/90*5)+(U131/90*3)+(O131/F131*2)+(W131*0.5),0)</f>
        <v/>
      </c>
      <c r="Y131" s="13">
        <f>IF(X131="","",X131*S131*(P131/90))</f>
        <v/>
      </c>
      <c r="Z131" s="14">
        <f>IFERROR(Y131/D131,0)</f>
        <v/>
      </c>
      <c r="AA131" s="15">
        <f>IF(P131="","",MAX(0,1-P131/90))</f>
        <v/>
      </c>
      <c r="AB131" s="13">
        <f>IFERROR(Y131*(1+0.20*W131+0.15*Z131)*(1-AA131*0.75),0)</f>
        <v/>
      </c>
      <c r="AC131" s="13">
        <f>IFERROR((T131+U131)*S131*(P131/90)*(1+0.25*(3-R131)),0)</f>
        <v/>
      </c>
      <c r="AD131" s="8" t="n"/>
    </row>
    <row r="132">
      <c r="A132" s="8" t="n"/>
      <c r="B132" s="8" t="n"/>
      <c r="C132" s="8" t="n"/>
      <c r="D132" s="9" t="n"/>
      <c r="E132" s="10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11" t="n"/>
      <c r="R132" s="12" t="n"/>
      <c r="S132" s="5">
        <f>IF(R132="","",1+(3-R132)*0.10)</f>
        <v/>
      </c>
      <c r="T132" s="13">
        <f>IFERROR(H132/F132*90,0)</f>
        <v/>
      </c>
      <c r="U132" s="13">
        <f>IFERROR(I132/F132*90,0)</f>
        <v/>
      </c>
      <c r="V132" s="13">
        <f>T132+U132</f>
        <v/>
      </c>
      <c r="W132" s="13">
        <f>IFERROR((H132*5+I132*3+J132*0+K132*0)/F132,0)</f>
        <v/>
      </c>
      <c r="X132" s="13">
        <f>IFERROR((2*(P132/90))+(T132/90*5)+(U132/90*3)+(O132/F132*2)+(W132*0.5),0)</f>
        <v/>
      </c>
      <c r="Y132" s="13">
        <f>IF(X132="","",X132*S132*(P132/90))</f>
        <v/>
      </c>
      <c r="Z132" s="14">
        <f>IFERROR(Y132/D132,0)</f>
        <v/>
      </c>
      <c r="AA132" s="15">
        <f>IF(P132="","",MAX(0,1-P132/90))</f>
        <v/>
      </c>
      <c r="AB132" s="13">
        <f>IFERROR(Y132*(1+0.20*W132+0.15*Z132)*(1-AA132*0.75),0)</f>
        <v/>
      </c>
      <c r="AC132" s="13">
        <f>IFERROR((T132+U132)*S132*(P132/90)*(1+0.25*(3-R132)),0)</f>
        <v/>
      </c>
      <c r="AD132" s="8" t="n"/>
    </row>
    <row r="133">
      <c r="A133" s="8" t="n"/>
      <c r="B133" s="8" t="n"/>
      <c r="C133" s="8" t="n"/>
      <c r="D133" s="9" t="n"/>
      <c r="E133" s="10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11" t="n"/>
      <c r="R133" s="12" t="n"/>
      <c r="S133" s="5">
        <f>IF(R133="","",1+(3-R133)*0.10)</f>
        <v/>
      </c>
      <c r="T133" s="13">
        <f>IFERROR(H133/F133*90,0)</f>
        <v/>
      </c>
      <c r="U133" s="13">
        <f>IFERROR(I133/F133*90,0)</f>
        <v/>
      </c>
      <c r="V133" s="13">
        <f>T133+U133</f>
        <v/>
      </c>
      <c r="W133" s="13">
        <f>IFERROR((H133*5+I133*3+J133*0+K133*0)/F133,0)</f>
        <v/>
      </c>
      <c r="X133" s="13">
        <f>IFERROR((2*(P133/90))+(T133/90*5)+(U133/90*3)+(O133/F133*2)+(W133*0.5),0)</f>
        <v/>
      </c>
      <c r="Y133" s="13">
        <f>IF(X133="","",X133*S133*(P133/90))</f>
        <v/>
      </c>
      <c r="Z133" s="14">
        <f>IFERROR(Y133/D133,0)</f>
        <v/>
      </c>
      <c r="AA133" s="15">
        <f>IF(P133="","",MAX(0,1-P133/90))</f>
        <v/>
      </c>
      <c r="AB133" s="13">
        <f>IFERROR(Y133*(1+0.20*W133+0.15*Z133)*(1-AA133*0.75),0)</f>
        <v/>
      </c>
      <c r="AC133" s="13">
        <f>IFERROR((T133+U133)*S133*(P133/90)*(1+0.25*(3-R133)),0)</f>
        <v/>
      </c>
      <c r="AD133" s="8" t="n"/>
    </row>
    <row r="134">
      <c r="A134" s="8" t="n"/>
      <c r="B134" s="8" t="n"/>
      <c r="C134" s="8" t="n"/>
      <c r="D134" s="9" t="n"/>
      <c r="E134" s="10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11" t="n"/>
      <c r="R134" s="12" t="n"/>
      <c r="S134" s="5">
        <f>IF(R134="","",1+(3-R134)*0.10)</f>
        <v/>
      </c>
      <c r="T134" s="13">
        <f>IFERROR(H134/F134*90,0)</f>
        <v/>
      </c>
      <c r="U134" s="13">
        <f>IFERROR(I134/F134*90,0)</f>
        <v/>
      </c>
      <c r="V134" s="13">
        <f>T134+U134</f>
        <v/>
      </c>
      <c r="W134" s="13">
        <f>IFERROR((H134*5+I134*3+J134*0+K134*0)/F134,0)</f>
        <v/>
      </c>
      <c r="X134" s="13">
        <f>IFERROR((2*(P134/90))+(T134/90*5)+(U134/90*3)+(O134/F134*2)+(W134*0.5),0)</f>
        <v/>
      </c>
      <c r="Y134" s="13">
        <f>IF(X134="","",X134*S134*(P134/90))</f>
        <v/>
      </c>
      <c r="Z134" s="14">
        <f>IFERROR(Y134/D134,0)</f>
        <v/>
      </c>
      <c r="AA134" s="15">
        <f>IF(P134="","",MAX(0,1-P134/90))</f>
        <v/>
      </c>
      <c r="AB134" s="13">
        <f>IFERROR(Y134*(1+0.20*W134+0.15*Z134)*(1-AA134*0.75),0)</f>
        <v/>
      </c>
      <c r="AC134" s="13">
        <f>IFERROR((T134+U134)*S134*(P134/90)*(1+0.25*(3-R134)),0)</f>
        <v/>
      </c>
      <c r="AD134" s="8" t="n"/>
    </row>
    <row r="135">
      <c r="A135" s="8" t="n"/>
      <c r="B135" s="8" t="n"/>
      <c r="C135" s="8" t="n"/>
      <c r="D135" s="9" t="n"/>
      <c r="E135" s="10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11" t="n"/>
      <c r="R135" s="12" t="n"/>
      <c r="S135" s="5">
        <f>IF(R135="","",1+(3-R135)*0.10)</f>
        <v/>
      </c>
      <c r="T135" s="13">
        <f>IFERROR(H135/F135*90,0)</f>
        <v/>
      </c>
      <c r="U135" s="13">
        <f>IFERROR(I135/F135*90,0)</f>
        <v/>
      </c>
      <c r="V135" s="13">
        <f>T135+U135</f>
        <v/>
      </c>
      <c r="W135" s="13">
        <f>IFERROR((H135*5+I135*3+J135*0+K135*0)/F135,0)</f>
        <v/>
      </c>
      <c r="X135" s="13">
        <f>IFERROR((2*(P135/90))+(T135/90*5)+(U135/90*3)+(O135/F135*2)+(W135*0.5),0)</f>
        <v/>
      </c>
      <c r="Y135" s="13">
        <f>IF(X135="","",X135*S135*(P135/90))</f>
        <v/>
      </c>
      <c r="Z135" s="14">
        <f>IFERROR(Y135/D135,0)</f>
        <v/>
      </c>
      <c r="AA135" s="15">
        <f>IF(P135="","",MAX(0,1-P135/90))</f>
        <v/>
      </c>
      <c r="AB135" s="13">
        <f>IFERROR(Y135*(1+0.20*W135+0.15*Z135)*(1-AA135*0.75),0)</f>
        <v/>
      </c>
      <c r="AC135" s="13">
        <f>IFERROR((T135+U135)*S135*(P135/90)*(1+0.25*(3-R135)),0)</f>
        <v/>
      </c>
      <c r="AD135" s="8" t="n"/>
    </row>
    <row r="136">
      <c r="A136" s="8" t="n"/>
      <c r="B136" s="8" t="n"/>
      <c r="C136" s="8" t="n"/>
      <c r="D136" s="9" t="n"/>
      <c r="E136" s="10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11" t="n"/>
      <c r="R136" s="12" t="n"/>
      <c r="S136" s="5">
        <f>IF(R136="","",1+(3-R136)*0.10)</f>
        <v/>
      </c>
      <c r="T136" s="13">
        <f>IFERROR(H136/F136*90,0)</f>
        <v/>
      </c>
      <c r="U136" s="13">
        <f>IFERROR(I136/F136*90,0)</f>
        <v/>
      </c>
      <c r="V136" s="13">
        <f>T136+U136</f>
        <v/>
      </c>
      <c r="W136" s="13">
        <f>IFERROR((H136*5+I136*3+J136*0+K136*0)/F136,0)</f>
        <v/>
      </c>
      <c r="X136" s="13">
        <f>IFERROR((2*(P136/90))+(T136/90*5)+(U136/90*3)+(O136/F136*2)+(W136*0.5),0)</f>
        <v/>
      </c>
      <c r="Y136" s="13">
        <f>IF(X136="","",X136*S136*(P136/90))</f>
        <v/>
      </c>
      <c r="Z136" s="14">
        <f>IFERROR(Y136/D136,0)</f>
        <v/>
      </c>
      <c r="AA136" s="15">
        <f>IF(P136="","",MAX(0,1-P136/90))</f>
        <v/>
      </c>
      <c r="AB136" s="13">
        <f>IFERROR(Y136*(1+0.20*W136+0.15*Z136)*(1-AA136*0.75),0)</f>
        <v/>
      </c>
      <c r="AC136" s="13">
        <f>IFERROR((T136+U136)*S136*(P136/90)*(1+0.25*(3-R136)),0)</f>
        <v/>
      </c>
      <c r="AD136" s="8" t="n"/>
    </row>
    <row r="137">
      <c r="A137" s="8" t="n"/>
      <c r="B137" s="8" t="n"/>
      <c r="C137" s="8" t="n"/>
      <c r="D137" s="9" t="n"/>
      <c r="E137" s="10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11" t="n"/>
      <c r="R137" s="12" t="n"/>
      <c r="S137" s="5">
        <f>IF(R137="","",1+(3-R137)*0.10)</f>
        <v/>
      </c>
      <c r="T137" s="13">
        <f>IFERROR(H137/F137*90,0)</f>
        <v/>
      </c>
      <c r="U137" s="13">
        <f>IFERROR(I137/F137*90,0)</f>
        <v/>
      </c>
      <c r="V137" s="13">
        <f>T137+U137</f>
        <v/>
      </c>
      <c r="W137" s="13">
        <f>IFERROR((H137*5+I137*3+J137*0+K137*0)/F137,0)</f>
        <v/>
      </c>
      <c r="X137" s="13">
        <f>IFERROR((2*(P137/90))+(T137/90*5)+(U137/90*3)+(O137/F137*2)+(W137*0.5),0)</f>
        <v/>
      </c>
      <c r="Y137" s="13">
        <f>IF(X137="","",X137*S137*(P137/90))</f>
        <v/>
      </c>
      <c r="Z137" s="14">
        <f>IFERROR(Y137/D137,0)</f>
        <v/>
      </c>
      <c r="AA137" s="15">
        <f>IF(P137="","",MAX(0,1-P137/90))</f>
        <v/>
      </c>
      <c r="AB137" s="13">
        <f>IFERROR(Y137*(1+0.20*W137+0.15*Z137)*(1-AA137*0.75),0)</f>
        <v/>
      </c>
      <c r="AC137" s="13">
        <f>IFERROR((T137+U137)*S137*(P137/90)*(1+0.25*(3-R137)),0)</f>
        <v/>
      </c>
      <c r="AD137" s="8" t="n"/>
    </row>
    <row r="138">
      <c r="A138" s="8" t="n"/>
      <c r="B138" s="8" t="n"/>
      <c r="C138" s="8" t="n"/>
      <c r="D138" s="9" t="n"/>
      <c r="E138" s="10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11" t="n"/>
      <c r="R138" s="12" t="n"/>
      <c r="S138" s="5">
        <f>IF(R138="","",1+(3-R138)*0.10)</f>
        <v/>
      </c>
      <c r="T138" s="13">
        <f>IFERROR(H138/F138*90,0)</f>
        <v/>
      </c>
      <c r="U138" s="13">
        <f>IFERROR(I138/F138*90,0)</f>
        <v/>
      </c>
      <c r="V138" s="13">
        <f>T138+U138</f>
        <v/>
      </c>
      <c r="W138" s="13">
        <f>IFERROR((H138*5+I138*3+J138*0+K138*0)/F138,0)</f>
        <v/>
      </c>
      <c r="X138" s="13">
        <f>IFERROR((2*(P138/90))+(T138/90*5)+(U138/90*3)+(O138/F138*2)+(W138*0.5),0)</f>
        <v/>
      </c>
      <c r="Y138" s="13">
        <f>IF(X138="","",X138*S138*(P138/90))</f>
        <v/>
      </c>
      <c r="Z138" s="14">
        <f>IFERROR(Y138/D138,0)</f>
        <v/>
      </c>
      <c r="AA138" s="15">
        <f>IF(P138="","",MAX(0,1-P138/90))</f>
        <v/>
      </c>
      <c r="AB138" s="13">
        <f>IFERROR(Y138*(1+0.20*W138+0.15*Z138)*(1-AA138*0.75),0)</f>
        <v/>
      </c>
      <c r="AC138" s="13">
        <f>IFERROR((T138+U138)*S138*(P138/90)*(1+0.25*(3-R138)),0)</f>
        <v/>
      </c>
      <c r="AD138" s="8" t="n"/>
    </row>
    <row r="139">
      <c r="A139" s="8" t="n"/>
      <c r="B139" s="8" t="n"/>
      <c r="C139" s="8" t="n"/>
      <c r="D139" s="9" t="n"/>
      <c r="E139" s="10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11" t="n"/>
      <c r="R139" s="12" t="n"/>
      <c r="S139" s="5">
        <f>IF(R139="","",1+(3-R139)*0.10)</f>
        <v/>
      </c>
      <c r="T139" s="13">
        <f>IFERROR(H139/F139*90,0)</f>
        <v/>
      </c>
      <c r="U139" s="13">
        <f>IFERROR(I139/F139*90,0)</f>
        <v/>
      </c>
      <c r="V139" s="13">
        <f>T139+U139</f>
        <v/>
      </c>
      <c r="W139" s="13">
        <f>IFERROR((H139*5+I139*3+J139*0+K139*0)/F139,0)</f>
        <v/>
      </c>
      <c r="X139" s="13">
        <f>IFERROR((2*(P139/90))+(T139/90*5)+(U139/90*3)+(O139/F139*2)+(W139*0.5),0)</f>
        <v/>
      </c>
      <c r="Y139" s="13">
        <f>IF(X139="","",X139*S139*(P139/90))</f>
        <v/>
      </c>
      <c r="Z139" s="14">
        <f>IFERROR(Y139/D139,0)</f>
        <v/>
      </c>
      <c r="AA139" s="15">
        <f>IF(P139="","",MAX(0,1-P139/90))</f>
        <v/>
      </c>
      <c r="AB139" s="13">
        <f>IFERROR(Y139*(1+0.20*W139+0.15*Z139)*(1-AA139*0.75),0)</f>
        <v/>
      </c>
      <c r="AC139" s="13">
        <f>IFERROR((T139+U139)*S139*(P139/90)*(1+0.25*(3-R139)),0)</f>
        <v/>
      </c>
      <c r="AD139" s="8" t="n"/>
    </row>
    <row r="140">
      <c r="A140" s="8" t="n"/>
      <c r="B140" s="8" t="n"/>
      <c r="C140" s="8" t="n"/>
      <c r="D140" s="9" t="n"/>
      <c r="E140" s="10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11" t="n"/>
      <c r="R140" s="12" t="n"/>
      <c r="S140" s="5">
        <f>IF(R140="","",1+(3-R140)*0.10)</f>
        <v/>
      </c>
      <c r="T140" s="13">
        <f>IFERROR(H140/F140*90,0)</f>
        <v/>
      </c>
      <c r="U140" s="13">
        <f>IFERROR(I140/F140*90,0)</f>
        <v/>
      </c>
      <c r="V140" s="13">
        <f>T140+U140</f>
        <v/>
      </c>
      <c r="W140" s="13">
        <f>IFERROR((H140*5+I140*3+J140*0+K140*0)/F140,0)</f>
        <v/>
      </c>
      <c r="X140" s="13">
        <f>IFERROR((2*(P140/90))+(T140/90*5)+(U140/90*3)+(O140/F140*2)+(W140*0.5),0)</f>
        <v/>
      </c>
      <c r="Y140" s="13">
        <f>IF(X140="","",X140*S140*(P140/90))</f>
        <v/>
      </c>
      <c r="Z140" s="14">
        <f>IFERROR(Y140/D140,0)</f>
        <v/>
      </c>
      <c r="AA140" s="15">
        <f>IF(P140="","",MAX(0,1-P140/90))</f>
        <v/>
      </c>
      <c r="AB140" s="13">
        <f>IFERROR(Y140*(1+0.20*W140+0.15*Z140)*(1-AA140*0.75),0)</f>
        <v/>
      </c>
      <c r="AC140" s="13">
        <f>IFERROR((T140+U140)*S140*(P140/90)*(1+0.25*(3-R140)),0)</f>
        <v/>
      </c>
      <c r="AD140" s="8" t="n"/>
    </row>
    <row r="141">
      <c r="A141" s="8" t="n"/>
      <c r="B141" s="8" t="n"/>
      <c r="C141" s="8" t="n"/>
      <c r="D141" s="9" t="n"/>
      <c r="E141" s="10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11" t="n"/>
      <c r="R141" s="12" t="n"/>
      <c r="S141" s="5">
        <f>IF(R141="","",1+(3-R141)*0.10)</f>
        <v/>
      </c>
      <c r="T141" s="13">
        <f>IFERROR(H141/F141*90,0)</f>
        <v/>
      </c>
      <c r="U141" s="13">
        <f>IFERROR(I141/F141*90,0)</f>
        <v/>
      </c>
      <c r="V141" s="13">
        <f>T141+U141</f>
        <v/>
      </c>
      <c r="W141" s="13">
        <f>IFERROR((H141*5+I141*3+J141*0+K141*0)/F141,0)</f>
        <v/>
      </c>
      <c r="X141" s="13">
        <f>IFERROR((2*(P141/90))+(T141/90*5)+(U141/90*3)+(O141/F141*2)+(W141*0.5),0)</f>
        <v/>
      </c>
      <c r="Y141" s="13">
        <f>IF(X141="","",X141*S141*(P141/90))</f>
        <v/>
      </c>
      <c r="Z141" s="14">
        <f>IFERROR(Y141/D141,0)</f>
        <v/>
      </c>
      <c r="AA141" s="15">
        <f>IF(P141="","",MAX(0,1-P141/90))</f>
        <v/>
      </c>
      <c r="AB141" s="13">
        <f>IFERROR(Y141*(1+0.20*W141+0.15*Z141)*(1-AA141*0.75),0)</f>
        <v/>
      </c>
      <c r="AC141" s="13">
        <f>IFERROR((T141+U141)*S141*(P141/90)*(1+0.25*(3-R141)),0)</f>
        <v/>
      </c>
      <c r="AD141" s="8" t="n"/>
    </row>
    <row r="142">
      <c r="A142" s="8" t="n"/>
      <c r="B142" s="8" t="n"/>
      <c r="C142" s="8" t="n"/>
      <c r="D142" s="9" t="n"/>
      <c r="E142" s="10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11" t="n"/>
      <c r="R142" s="12" t="n"/>
      <c r="S142" s="5">
        <f>IF(R142="","",1+(3-R142)*0.10)</f>
        <v/>
      </c>
      <c r="T142" s="13">
        <f>IFERROR(H142/F142*90,0)</f>
        <v/>
      </c>
      <c r="U142" s="13">
        <f>IFERROR(I142/F142*90,0)</f>
        <v/>
      </c>
      <c r="V142" s="13">
        <f>T142+U142</f>
        <v/>
      </c>
      <c r="W142" s="13">
        <f>IFERROR((H142*5+I142*3+J142*0+K142*0)/F142,0)</f>
        <v/>
      </c>
      <c r="X142" s="13">
        <f>IFERROR((2*(P142/90))+(T142/90*5)+(U142/90*3)+(O142/F142*2)+(W142*0.5),0)</f>
        <v/>
      </c>
      <c r="Y142" s="13">
        <f>IF(X142="","",X142*S142*(P142/90))</f>
        <v/>
      </c>
      <c r="Z142" s="14">
        <f>IFERROR(Y142/D142,0)</f>
        <v/>
      </c>
      <c r="AA142" s="15">
        <f>IF(P142="","",MAX(0,1-P142/90))</f>
        <v/>
      </c>
      <c r="AB142" s="13">
        <f>IFERROR(Y142*(1+0.20*W142+0.15*Z142)*(1-AA142*0.75),0)</f>
        <v/>
      </c>
      <c r="AC142" s="13">
        <f>IFERROR((T142+U142)*S142*(P142/90)*(1+0.25*(3-R142)),0)</f>
        <v/>
      </c>
      <c r="AD142" s="8" t="n"/>
    </row>
    <row r="143">
      <c r="A143" s="8" t="n"/>
      <c r="B143" s="8" t="n"/>
      <c r="C143" s="8" t="n"/>
      <c r="D143" s="9" t="n"/>
      <c r="E143" s="10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11" t="n"/>
      <c r="R143" s="12" t="n"/>
      <c r="S143" s="5">
        <f>IF(R143="","",1+(3-R143)*0.10)</f>
        <v/>
      </c>
      <c r="T143" s="13">
        <f>IFERROR(H143/F143*90,0)</f>
        <v/>
      </c>
      <c r="U143" s="13">
        <f>IFERROR(I143/F143*90,0)</f>
        <v/>
      </c>
      <c r="V143" s="13">
        <f>T143+U143</f>
        <v/>
      </c>
      <c r="W143" s="13">
        <f>IFERROR((H143*5+I143*3+J143*0+K143*0)/F143,0)</f>
        <v/>
      </c>
      <c r="X143" s="13">
        <f>IFERROR((2*(P143/90))+(T143/90*5)+(U143/90*3)+(O143/F143*2)+(W143*0.5),0)</f>
        <v/>
      </c>
      <c r="Y143" s="13">
        <f>IF(X143="","",X143*S143*(P143/90))</f>
        <v/>
      </c>
      <c r="Z143" s="14">
        <f>IFERROR(Y143/D143,0)</f>
        <v/>
      </c>
      <c r="AA143" s="15">
        <f>IF(P143="","",MAX(0,1-P143/90))</f>
        <v/>
      </c>
      <c r="AB143" s="13">
        <f>IFERROR(Y143*(1+0.20*W143+0.15*Z143)*(1-AA143*0.75),0)</f>
        <v/>
      </c>
      <c r="AC143" s="13">
        <f>IFERROR((T143+U143)*S143*(P143/90)*(1+0.25*(3-R143)),0)</f>
        <v/>
      </c>
      <c r="AD143" s="8" t="n"/>
    </row>
    <row r="144">
      <c r="A144" s="8" t="n"/>
      <c r="B144" s="8" t="n"/>
      <c r="C144" s="8" t="n"/>
      <c r="D144" s="9" t="n"/>
      <c r="E144" s="10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11" t="n"/>
      <c r="R144" s="12" t="n"/>
      <c r="S144" s="5">
        <f>IF(R144="","",1+(3-R144)*0.10)</f>
        <v/>
      </c>
      <c r="T144" s="13">
        <f>IFERROR(H144/F144*90,0)</f>
        <v/>
      </c>
      <c r="U144" s="13">
        <f>IFERROR(I144/F144*90,0)</f>
        <v/>
      </c>
      <c r="V144" s="13">
        <f>T144+U144</f>
        <v/>
      </c>
      <c r="W144" s="13">
        <f>IFERROR((H144*5+I144*3+J144*0+K144*0)/F144,0)</f>
        <v/>
      </c>
      <c r="X144" s="13">
        <f>IFERROR((2*(P144/90))+(T144/90*5)+(U144/90*3)+(O144/F144*2)+(W144*0.5),0)</f>
        <v/>
      </c>
      <c r="Y144" s="13">
        <f>IF(X144="","",X144*S144*(P144/90))</f>
        <v/>
      </c>
      <c r="Z144" s="14">
        <f>IFERROR(Y144/D144,0)</f>
        <v/>
      </c>
      <c r="AA144" s="15">
        <f>IF(P144="","",MAX(0,1-P144/90))</f>
        <v/>
      </c>
      <c r="AB144" s="13">
        <f>IFERROR(Y144*(1+0.20*W144+0.15*Z144)*(1-AA144*0.75),0)</f>
        <v/>
      </c>
      <c r="AC144" s="13">
        <f>IFERROR((T144+U144)*S144*(P144/90)*(1+0.25*(3-R144)),0)</f>
        <v/>
      </c>
      <c r="AD144" s="8" t="n"/>
    </row>
    <row r="145">
      <c r="A145" s="8" t="n"/>
      <c r="B145" s="8" t="n"/>
      <c r="C145" s="8" t="n"/>
      <c r="D145" s="9" t="n"/>
      <c r="E145" s="10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11" t="n"/>
      <c r="R145" s="12" t="n"/>
      <c r="S145" s="5">
        <f>IF(R145="","",1+(3-R145)*0.10)</f>
        <v/>
      </c>
      <c r="T145" s="13">
        <f>IFERROR(H145/F145*90,0)</f>
        <v/>
      </c>
      <c r="U145" s="13">
        <f>IFERROR(I145/F145*90,0)</f>
        <v/>
      </c>
      <c r="V145" s="13">
        <f>T145+U145</f>
        <v/>
      </c>
      <c r="W145" s="13">
        <f>IFERROR((H145*5+I145*3+J145*0+K145*0)/F145,0)</f>
        <v/>
      </c>
      <c r="X145" s="13">
        <f>IFERROR((2*(P145/90))+(T145/90*5)+(U145/90*3)+(O145/F145*2)+(W145*0.5),0)</f>
        <v/>
      </c>
      <c r="Y145" s="13">
        <f>IF(X145="","",X145*S145*(P145/90))</f>
        <v/>
      </c>
      <c r="Z145" s="14">
        <f>IFERROR(Y145/D145,0)</f>
        <v/>
      </c>
      <c r="AA145" s="15">
        <f>IF(P145="","",MAX(0,1-P145/90))</f>
        <v/>
      </c>
      <c r="AB145" s="13">
        <f>IFERROR(Y145*(1+0.20*W145+0.15*Z145)*(1-AA145*0.75),0)</f>
        <v/>
      </c>
      <c r="AC145" s="13">
        <f>IFERROR((T145+U145)*S145*(P145/90)*(1+0.25*(3-R145)),0)</f>
        <v/>
      </c>
      <c r="AD145" s="8" t="n"/>
    </row>
    <row r="146">
      <c r="A146" s="8" t="n"/>
      <c r="B146" s="8" t="n"/>
      <c r="C146" s="8" t="n"/>
      <c r="D146" s="9" t="n"/>
      <c r="E146" s="10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11" t="n"/>
      <c r="R146" s="12" t="n"/>
      <c r="S146" s="5">
        <f>IF(R146="","",1+(3-R146)*0.10)</f>
        <v/>
      </c>
      <c r="T146" s="13">
        <f>IFERROR(H146/F146*90,0)</f>
        <v/>
      </c>
      <c r="U146" s="13">
        <f>IFERROR(I146/F146*90,0)</f>
        <v/>
      </c>
      <c r="V146" s="13">
        <f>T146+U146</f>
        <v/>
      </c>
      <c r="W146" s="13">
        <f>IFERROR((H146*5+I146*3+J146*0+K146*0)/F146,0)</f>
        <v/>
      </c>
      <c r="X146" s="13">
        <f>IFERROR((2*(P146/90))+(T146/90*5)+(U146/90*3)+(O146/F146*2)+(W146*0.5),0)</f>
        <v/>
      </c>
      <c r="Y146" s="13">
        <f>IF(X146="","",X146*S146*(P146/90))</f>
        <v/>
      </c>
      <c r="Z146" s="14">
        <f>IFERROR(Y146/D146,0)</f>
        <v/>
      </c>
      <c r="AA146" s="15">
        <f>IF(P146="","",MAX(0,1-P146/90))</f>
        <v/>
      </c>
      <c r="AB146" s="13">
        <f>IFERROR(Y146*(1+0.20*W146+0.15*Z146)*(1-AA146*0.75),0)</f>
        <v/>
      </c>
      <c r="AC146" s="13">
        <f>IFERROR((T146+U146)*S146*(P146/90)*(1+0.25*(3-R146)),0)</f>
        <v/>
      </c>
      <c r="AD146" s="8" t="n"/>
    </row>
    <row r="147">
      <c r="A147" s="8" t="n"/>
      <c r="B147" s="8" t="n"/>
      <c r="C147" s="8" t="n"/>
      <c r="D147" s="9" t="n"/>
      <c r="E147" s="10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11" t="n"/>
      <c r="R147" s="12" t="n"/>
      <c r="S147" s="5">
        <f>IF(R147="","",1+(3-R147)*0.10)</f>
        <v/>
      </c>
      <c r="T147" s="13">
        <f>IFERROR(H147/F147*90,0)</f>
        <v/>
      </c>
      <c r="U147" s="13">
        <f>IFERROR(I147/F147*90,0)</f>
        <v/>
      </c>
      <c r="V147" s="13">
        <f>T147+U147</f>
        <v/>
      </c>
      <c r="W147" s="13">
        <f>IFERROR((H147*5+I147*3+J147*0+K147*0)/F147,0)</f>
        <v/>
      </c>
      <c r="X147" s="13">
        <f>IFERROR((2*(P147/90))+(T147/90*5)+(U147/90*3)+(O147/F147*2)+(W147*0.5),0)</f>
        <v/>
      </c>
      <c r="Y147" s="13">
        <f>IF(X147="","",X147*S147*(P147/90))</f>
        <v/>
      </c>
      <c r="Z147" s="14">
        <f>IFERROR(Y147/D147,0)</f>
        <v/>
      </c>
      <c r="AA147" s="15">
        <f>IF(P147="","",MAX(0,1-P147/90))</f>
        <v/>
      </c>
      <c r="AB147" s="13">
        <f>IFERROR(Y147*(1+0.20*W147+0.15*Z147)*(1-AA147*0.75),0)</f>
        <v/>
      </c>
      <c r="AC147" s="13">
        <f>IFERROR((T147+U147)*S147*(P147/90)*(1+0.25*(3-R147)),0)</f>
        <v/>
      </c>
      <c r="AD147" s="8" t="n"/>
    </row>
    <row r="148">
      <c r="A148" s="8" t="n"/>
      <c r="B148" s="8" t="n"/>
      <c r="C148" s="8" t="n"/>
      <c r="D148" s="9" t="n"/>
      <c r="E148" s="10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11" t="n"/>
      <c r="R148" s="12" t="n"/>
      <c r="S148" s="5">
        <f>IF(R148="","",1+(3-R148)*0.10)</f>
        <v/>
      </c>
      <c r="T148" s="13">
        <f>IFERROR(H148/F148*90,0)</f>
        <v/>
      </c>
      <c r="U148" s="13">
        <f>IFERROR(I148/F148*90,0)</f>
        <v/>
      </c>
      <c r="V148" s="13">
        <f>T148+U148</f>
        <v/>
      </c>
      <c r="W148" s="13">
        <f>IFERROR((H148*5+I148*3+J148*0+K148*0)/F148,0)</f>
        <v/>
      </c>
      <c r="X148" s="13">
        <f>IFERROR((2*(P148/90))+(T148/90*5)+(U148/90*3)+(O148/F148*2)+(W148*0.5),0)</f>
        <v/>
      </c>
      <c r="Y148" s="13">
        <f>IF(X148="","",X148*S148*(P148/90))</f>
        <v/>
      </c>
      <c r="Z148" s="14">
        <f>IFERROR(Y148/D148,0)</f>
        <v/>
      </c>
      <c r="AA148" s="15">
        <f>IF(P148="","",MAX(0,1-P148/90))</f>
        <v/>
      </c>
      <c r="AB148" s="13">
        <f>IFERROR(Y148*(1+0.20*W148+0.15*Z148)*(1-AA148*0.75),0)</f>
        <v/>
      </c>
      <c r="AC148" s="13">
        <f>IFERROR((T148+U148)*S148*(P148/90)*(1+0.25*(3-R148)),0)</f>
        <v/>
      </c>
      <c r="AD148" s="8" t="n"/>
    </row>
    <row r="149">
      <c r="A149" s="8" t="n"/>
      <c r="B149" s="8" t="n"/>
      <c r="C149" s="8" t="n"/>
      <c r="D149" s="9" t="n"/>
      <c r="E149" s="10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11" t="n"/>
      <c r="R149" s="12" t="n"/>
      <c r="S149" s="5">
        <f>IF(R149="","",1+(3-R149)*0.10)</f>
        <v/>
      </c>
      <c r="T149" s="13">
        <f>IFERROR(H149/F149*90,0)</f>
        <v/>
      </c>
      <c r="U149" s="13">
        <f>IFERROR(I149/F149*90,0)</f>
        <v/>
      </c>
      <c r="V149" s="13">
        <f>T149+U149</f>
        <v/>
      </c>
      <c r="W149" s="13">
        <f>IFERROR((H149*5+I149*3+J149*0+K149*0)/F149,0)</f>
        <v/>
      </c>
      <c r="X149" s="13">
        <f>IFERROR((2*(P149/90))+(T149/90*5)+(U149/90*3)+(O149/F149*2)+(W149*0.5),0)</f>
        <v/>
      </c>
      <c r="Y149" s="13">
        <f>IF(X149="","",X149*S149*(P149/90))</f>
        <v/>
      </c>
      <c r="Z149" s="14">
        <f>IFERROR(Y149/D149,0)</f>
        <v/>
      </c>
      <c r="AA149" s="15">
        <f>IF(P149="","",MAX(0,1-P149/90))</f>
        <v/>
      </c>
      <c r="AB149" s="13">
        <f>IFERROR(Y149*(1+0.20*W149+0.15*Z149)*(1-AA149*0.75),0)</f>
        <v/>
      </c>
      <c r="AC149" s="13">
        <f>IFERROR((T149+U149)*S149*(P149/90)*(1+0.25*(3-R149)),0)</f>
        <v/>
      </c>
      <c r="AD149" s="8" t="n"/>
    </row>
    <row r="150">
      <c r="A150" s="8" t="n"/>
      <c r="B150" s="8" t="n"/>
      <c r="C150" s="8" t="n"/>
      <c r="D150" s="9" t="n"/>
      <c r="E150" s="10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11" t="n"/>
      <c r="R150" s="12" t="n"/>
      <c r="S150" s="5">
        <f>IF(R150="","",1+(3-R150)*0.10)</f>
        <v/>
      </c>
      <c r="T150" s="13">
        <f>IFERROR(H150/F150*90,0)</f>
        <v/>
      </c>
      <c r="U150" s="13">
        <f>IFERROR(I150/F150*90,0)</f>
        <v/>
      </c>
      <c r="V150" s="13">
        <f>T150+U150</f>
        <v/>
      </c>
      <c r="W150" s="13">
        <f>IFERROR((H150*5+I150*3+J150*0+K150*0)/F150,0)</f>
        <v/>
      </c>
      <c r="X150" s="13">
        <f>IFERROR((2*(P150/90))+(T150/90*5)+(U150/90*3)+(O150/F150*2)+(W150*0.5),0)</f>
        <v/>
      </c>
      <c r="Y150" s="13">
        <f>IF(X150="","",X150*S150*(P150/90))</f>
        <v/>
      </c>
      <c r="Z150" s="14">
        <f>IFERROR(Y150/D150,0)</f>
        <v/>
      </c>
      <c r="AA150" s="15">
        <f>IF(P150="","",MAX(0,1-P150/90))</f>
        <v/>
      </c>
      <c r="AB150" s="13">
        <f>IFERROR(Y150*(1+0.20*W150+0.15*Z150)*(1-AA150*0.75),0)</f>
        <v/>
      </c>
      <c r="AC150" s="13">
        <f>IFERROR((T150+U150)*S150*(P150/90)*(1+0.25*(3-R150)),0)</f>
        <v/>
      </c>
      <c r="AD150" s="8" t="n"/>
    </row>
    <row r="151">
      <c r="A151" s="8" t="n"/>
      <c r="B151" s="8" t="n"/>
      <c r="C151" s="8" t="n"/>
      <c r="D151" s="9" t="n"/>
      <c r="E151" s="10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11" t="n"/>
      <c r="R151" s="12" t="n"/>
      <c r="S151" s="5">
        <f>IF(R151="","",1+(3-R151)*0.10)</f>
        <v/>
      </c>
      <c r="T151" s="13">
        <f>IFERROR(H151/F151*90,0)</f>
        <v/>
      </c>
      <c r="U151" s="13">
        <f>IFERROR(I151/F151*90,0)</f>
        <v/>
      </c>
      <c r="V151" s="13">
        <f>T151+U151</f>
        <v/>
      </c>
      <c r="W151" s="13">
        <f>IFERROR((H151*5+I151*3+J151*0+K151*0)/F151,0)</f>
        <v/>
      </c>
      <c r="X151" s="13">
        <f>IFERROR((2*(P151/90))+(T151/90*5)+(U151/90*3)+(O151/F151*2)+(W151*0.5),0)</f>
        <v/>
      </c>
      <c r="Y151" s="13">
        <f>IF(X151="","",X151*S151*(P151/90))</f>
        <v/>
      </c>
      <c r="Z151" s="14">
        <f>IFERROR(Y151/D151,0)</f>
        <v/>
      </c>
      <c r="AA151" s="15">
        <f>IF(P151="","",MAX(0,1-P151/90))</f>
        <v/>
      </c>
      <c r="AB151" s="13">
        <f>IFERROR(Y151*(1+0.20*W151+0.15*Z151)*(1-AA151*0.75),0)</f>
        <v/>
      </c>
      <c r="AC151" s="13">
        <f>IFERROR((T151+U151)*S151*(P151/90)*(1+0.25*(3-R151)),0)</f>
        <v/>
      </c>
      <c r="AD151" s="8" t="n"/>
    </row>
    <row r="152">
      <c r="A152" s="8" t="n"/>
      <c r="B152" s="8" t="n"/>
      <c r="C152" s="8" t="n"/>
      <c r="D152" s="9" t="n"/>
      <c r="E152" s="10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11" t="n"/>
      <c r="R152" s="12" t="n"/>
      <c r="S152" s="5">
        <f>IF(R152="","",1+(3-R152)*0.10)</f>
        <v/>
      </c>
      <c r="T152" s="13">
        <f>IFERROR(H152/F152*90,0)</f>
        <v/>
      </c>
      <c r="U152" s="13">
        <f>IFERROR(I152/F152*90,0)</f>
        <v/>
      </c>
      <c r="V152" s="13">
        <f>T152+U152</f>
        <v/>
      </c>
      <c r="W152" s="13">
        <f>IFERROR((H152*5+I152*3+J152*0+K152*0)/F152,0)</f>
        <v/>
      </c>
      <c r="X152" s="13">
        <f>IFERROR((2*(P152/90))+(T152/90*5)+(U152/90*3)+(O152/F152*2)+(W152*0.5),0)</f>
        <v/>
      </c>
      <c r="Y152" s="13">
        <f>IF(X152="","",X152*S152*(P152/90))</f>
        <v/>
      </c>
      <c r="Z152" s="14">
        <f>IFERROR(Y152/D152,0)</f>
        <v/>
      </c>
      <c r="AA152" s="15">
        <f>IF(P152="","",MAX(0,1-P152/90))</f>
        <v/>
      </c>
      <c r="AB152" s="13">
        <f>IFERROR(Y152*(1+0.20*W152+0.15*Z152)*(1-AA152*0.75),0)</f>
        <v/>
      </c>
      <c r="AC152" s="13">
        <f>IFERROR((T152+U152)*S152*(P152/90)*(1+0.25*(3-R152)),0)</f>
        <v/>
      </c>
      <c r="AD152" s="8" t="n"/>
    </row>
    <row r="153">
      <c r="A153" s="8" t="n"/>
      <c r="B153" s="8" t="n"/>
      <c r="C153" s="8" t="n"/>
      <c r="D153" s="9" t="n"/>
      <c r="E153" s="10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11" t="n"/>
      <c r="R153" s="12" t="n"/>
      <c r="S153" s="5">
        <f>IF(R153="","",1+(3-R153)*0.10)</f>
        <v/>
      </c>
      <c r="T153" s="13">
        <f>IFERROR(H153/F153*90,0)</f>
        <v/>
      </c>
      <c r="U153" s="13">
        <f>IFERROR(I153/F153*90,0)</f>
        <v/>
      </c>
      <c r="V153" s="13">
        <f>T153+U153</f>
        <v/>
      </c>
      <c r="W153" s="13">
        <f>IFERROR((H153*5+I153*3+J153*0+K153*0)/F153,0)</f>
        <v/>
      </c>
      <c r="X153" s="13">
        <f>IFERROR((2*(P153/90))+(T153/90*5)+(U153/90*3)+(O153/F153*2)+(W153*0.5),0)</f>
        <v/>
      </c>
      <c r="Y153" s="13">
        <f>IF(X153="","",X153*S153*(P153/90))</f>
        <v/>
      </c>
      <c r="Z153" s="14">
        <f>IFERROR(Y153/D153,0)</f>
        <v/>
      </c>
      <c r="AA153" s="15">
        <f>IF(P153="","",MAX(0,1-P153/90))</f>
        <v/>
      </c>
      <c r="AB153" s="13">
        <f>IFERROR(Y153*(1+0.20*W153+0.15*Z153)*(1-AA153*0.75),0)</f>
        <v/>
      </c>
      <c r="AC153" s="13">
        <f>IFERROR((T153+U153)*S153*(P153/90)*(1+0.25*(3-R153)),0)</f>
        <v/>
      </c>
      <c r="AD153" s="8" t="n"/>
    </row>
    <row r="154">
      <c r="A154" s="8" t="n"/>
      <c r="B154" s="8" t="n"/>
      <c r="C154" s="8" t="n"/>
      <c r="D154" s="9" t="n"/>
      <c r="E154" s="10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11" t="n"/>
      <c r="R154" s="12" t="n"/>
      <c r="S154" s="5">
        <f>IF(R154="","",1+(3-R154)*0.10)</f>
        <v/>
      </c>
      <c r="T154" s="13">
        <f>IFERROR(H154/F154*90,0)</f>
        <v/>
      </c>
      <c r="U154" s="13">
        <f>IFERROR(I154/F154*90,0)</f>
        <v/>
      </c>
      <c r="V154" s="13">
        <f>T154+U154</f>
        <v/>
      </c>
      <c r="W154" s="13">
        <f>IFERROR((H154*5+I154*3+J154*0+K154*0)/F154,0)</f>
        <v/>
      </c>
      <c r="X154" s="13">
        <f>IFERROR((2*(P154/90))+(T154/90*5)+(U154/90*3)+(O154/F154*2)+(W154*0.5),0)</f>
        <v/>
      </c>
      <c r="Y154" s="13">
        <f>IF(X154="","",X154*S154*(P154/90))</f>
        <v/>
      </c>
      <c r="Z154" s="14">
        <f>IFERROR(Y154/D154,0)</f>
        <v/>
      </c>
      <c r="AA154" s="15">
        <f>IF(P154="","",MAX(0,1-P154/90))</f>
        <v/>
      </c>
      <c r="AB154" s="13">
        <f>IFERROR(Y154*(1+0.20*W154+0.15*Z154)*(1-AA154*0.75),0)</f>
        <v/>
      </c>
      <c r="AC154" s="13">
        <f>IFERROR((T154+U154)*S154*(P154/90)*(1+0.25*(3-R154)),0)</f>
        <v/>
      </c>
      <c r="AD154" s="8" t="n"/>
    </row>
    <row r="155">
      <c r="A155" s="8" t="n"/>
      <c r="B155" s="8" t="n"/>
      <c r="C155" s="8" t="n"/>
      <c r="D155" s="9" t="n"/>
      <c r="E155" s="10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11" t="n"/>
      <c r="R155" s="12" t="n"/>
      <c r="S155" s="5">
        <f>IF(R155="","",1+(3-R155)*0.10)</f>
        <v/>
      </c>
      <c r="T155" s="13">
        <f>IFERROR(H155/F155*90,0)</f>
        <v/>
      </c>
      <c r="U155" s="13">
        <f>IFERROR(I155/F155*90,0)</f>
        <v/>
      </c>
      <c r="V155" s="13">
        <f>T155+U155</f>
        <v/>
      </c>
      <c r="W155" s="13">
        <f>IFERROR((H155*5+I155*3+J155*0+K155*0)/F155,0)</f>
        <v/>
      </c>
      <c r="X155" s="13">
        <f>IFERROR((2*(P155/90))+(T155/90*5)+(U155/90*3)+(O155/F155*2)+(W155*0.5),0)</f>
        <v/>
      </c>
      <c r="Y155" s="13">
        <f>IF(X155="","",X155*S155*(P155/90))</f>
        <v/>
      </c>
      <c r="Z155" s="14">
        <f>IFERROR(Y155/D155,0)</f>
        <v/>
      </c>
      <c r="AA155" s="15">
        <f>IF(P155="","",MAX(0,1-P155/90))</f>
        <v/>
      </c>
      <c r="AB155" s="13">
        <f>IFERROR(Y155*(1+0.20*W155+0.15*Z155)*(1-AA155*0.75),0)</f>
        <v/>
      </c>
      <c r="AC155" s="13">
        <f>IFERROR((T155+U155)*S155*(P155/90)*(1+0.25*(3-R155)),0)</f>
        <v/>
      </c>
      <c r="AD155" s="8" t="n"/>
    </row>
    <row r="156">
      <c r="A156" s="8" t="n"/>
      <c r="B156" s="8" t="n"/>
      <c r="C156" s="8" t="n"/>
      <c r="D156" s="9" t="n"/>
      <c r="E156" s="10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11" t="n"/>
      <c r="R156" s="12" t="n"/>
      <c r="S156" s="5">
        <f>IF(R156="","",1+(3-R156)*0.10)</f>
        <v/>
      </c>
      <c r="T156" s="13">
        <f>IFERROR(H156/F156*90,0)</f>
        <v/>
      </c>
      <c r="U156" s="13">
        <f>IFERROR(I156/F156*90,0)</f>
        <v/>
      </c>
      <c r="V156" s="13">
        <f>T156+U156</f>
        <v/>
      </c>
      <c r="W156" s="13">
        <f>IFERROR((H156*5+I156*3+J156*0+K156*0)/F156,0)</f>
        <v/>
      </c>
      <c r="X156" s="13">
        <f>IFERROR((2*(P156/90))+(T156/90*5)+(U156/90*3)+(O156/F156*2)+(W156*0.5),0)</f>
        <v/>
      </c>
      <c r="Y156" s="13">
        <f>IF(X156="","",X156*S156*(P156/90))</f>
        <v/>
      </c>
      <c r="Z156" s="14">
        <f>IFERROR(Y156/D156,0)</f>
        <v/>
      </c>
      <c r="AA156" s="15">
        <f>IF(P156="","",MAX(0,1-P156/90))</f>
        <v/>
      </c>
      <c r="AB156" s="13">
        <f>IFERROR(Y156*(1+0.20*W156+0.15*Z156)*(1-AA156*0.75),0)</f>
        <v/>
      </c>
      <c r="AC156" s="13">
        <f>IFERROR((T156+U156)*S156*(P156/90)*(1+0.25*(3-R156)),0)</f>
        <v/>
      </c>
      <c r="AD156" s="8" t="n"/>
    </row>
    <row r="157">
      <c r="A157" s="8" t="n"/>
      <c r="B157" s="8" t="n"/>
      <c r="C157" s="8" t="n"/>
      <c r="D157" s="9" t="n"/>
      <c r="E157" s="10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11" t="n"/>
      <c r="R157" s="12" t="n"/>
      <c r="S157" s="5">
        <f>IF(R157="","",1+(3-R157)*0.10)</f>
        <v/>
      </c>
      <c r="T157" s="13">
        <f>IFERROR(H157/F157*90,0)</f>
        <v/>
      </c>
      <c r="U157" s="13">
        <f>IFERROR(I157/F157*90,0)</f>
        <v/>
      </c>
      <c r="V157" s="13">
        <f>T157+U157</f>
        <v/>
      </c>
      <c r="W157" s="13">
        <f>IFERROR((H157*5+I157*3+J157*0+K157*0)/F157,0)</f>
        <v/>
      </c>
      <c r="X157" s="13">
        <f>IFERROR((2*(P157/90))+(T157/90*5)+(U157/90*3)+(O157/F157*2)+(W157*0.5),0)</f>
        <v/>
      </c>
      <c r="Y157" s="13">
        <f>IF(X157="","",X157*S157*(P157/90))</f>
        <v/>
      </c>
      <c r="Z157" s="14">
        <f>IFERROR(Y157/D157,0)</f>
        <v/>
      </c>
      <c r="AA157" s="15">
        <f>IF(P157="","",MAX(0,1-P157/90))</f>
        <v/>
      </c>
      <c r="AB157" s="13">
        <f>IFERROR(Y157*(1+0.20*W157+0.15*Z157)*(1-AA157*0.75),0)</f>
        <v/>
      </c>
      <c r="AC157" s="13">
        <f>IFERROR((T157+U157)*S157*(P157/90)*(1+0.25*(3-R157)),0)</f>
        <v/>
      </c>
      <c r="AD157" s="8" t="n"/>
    </row>
    <row r="158">
      <c r="A158" s="8" t="n"/>
      <c r="B158" s="8" t="n"/>
      <c r="C158" s="8" t="n"/>
      <c r="D158" s="9" t="n"/>
      <c r="E158" s="10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11" t="n"/>
      <c r="R158" s="12" t="n"/>
      <c r="S158" s="5">
        <f>IF(R158="","",1+(3-R158)*0.10)</f>
        <v/>
      </c>
      <c r="T158" s="13">
        <f>IFERROR(H158/F158*90,0)</f>
        <v/>
      </c>
      <c r="U158" s="13">
        <f>IFERROR(I158/F158*90,0)</f>
        <v/>
      </c>
      <c r="V158" s="13">
        <f>T158+U158</f>
        <v/>
      </c>
      <c r="W158" s="13">
        <f>IFERROR((H158*5+I158*3+J158*0+K158*0)/F158,0)</f>
        <v/>
      </c>
      <c r="X158" s="13">
        <f>IFERROR((2*(P158/90))+(T158/90*5)+(U158/90*3)+(O158/F158*2)+(W158*0.5),0)</f>
        <v/>
      </c>
      <c r="Y158" s="13">
        <f>IF(X158="","",X158*S158*(P158/90))</f>
        <v/>
      </c>
      <c r="Z158" s="14">
        <f>IFERROR(Y158/D158,0)</f>
        <v/>
      </c>
      <c r="AA158" s="15">
        <f>IF(P158="","",MAX(0,1-P158/90))</f>
        <v/>
      </c>
      <c r="AB158" s="13">
        <f>IFERROR(Y158*(1+0.20*W158+0.15*Z158)*(1-AA158*0.75),0)</f>
        <v/>
      </c>
      <c r="AC158" s="13">
        <f>IFERROR((T158+U158)*S158*(P158/90)*(1+0.25*(3-R158)),0)</f>
        <v/>
      </c>
      <c r="AD158" s="8" t="n"/>
    </row>
    <row r="159">
      <c r="A159" s="8" t="n"/>
      <c r="B159" s="8" t="n"/>
      <c r="C159" s="8" t="n"/>
      <c r="D159" s="9" t="n"/>
      <c r="E159" s="10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11" t="n"/>
      <c r="R159" s="12" t="n"/>
      <c r="S159" s="5">
        <f>IF(R159="","",1+(3-R159)*0.10)</f>
        <v/>
      </c>
      <c r="T159" s="13">
        <f>IFERROR(H159/F159*90,0)</f>
        <v/>
      </c>
      <c r="U159" s="13">
        <f>IFERROR(I159/F159*90,0)</f>
        <v/>
      </c>
      <c r="V159" s="13">
        <f>T159+U159</f>
        <v/>
      </c>
      <c r="W159" s="13">
        <f>IFERROR((H159*5+I159*3+J159*0+K159*0)/F159,0)</f>
        <v/>
      </c>
      <c r="X159" s="13">
        <f>IFERROR((2*(P159/90))+(T159/90*5)+(U159/90*3)+(O159/F159*2)+(W159*0.5),0)</f>
        <v/>
      </c>
      <c r="Y159" s="13">
        <f>IF(X159="","",X159*S159*(P159/90))</f>
        <v/>
      </c>
      <c r="Z159" s="14">
        <f>IFERROR(Y159/D159,0)</f>
        <v/>
      </c>
      <c r="AA159" s="15">
        <f>IF(P159="","",MAX(0,1-P159/90))</f>
        <v/>
      </c>
      <c r="AB159" s="13">
        <f>IFERROR(Y159*(1+0.20*W159+0.15*Z159)*(1-AA159*0.75),0)</f>
        <v/>
      </c>
      <c r="AC159" s="13">
        <f>IFERROR((T159+U159)*S159*(P159/90)*(1+0.25*(3-R159)),0)</f>
        <v/>
      </c>
      <c r="AD159" s="8" t="n"/>
    </row>
    <row r="160">
      <c r="A160" s="8" t="n"/>
      <c r="B160" s="8" t="n"/>
      <c r="C160" s="8" t="n"/>
      <c r="D160" s="9" t="n"/>
      <c r="E160" s="10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11" t="n"/>
      <c r="R160" s="12" t="n"/>
      <c r="S160" s="5">
        <f>IF(R160="","",1+(3-R160)*0.10)</f>
        <v/>
      </c>
      <c r="T160" s="13">
        <f>IFERROR(H160/F160*90,0)</f>
        <v/>
      </c>
      <c r="U160" s="13">
        <f>IFERROR(I160/F160*90,0)</f>
        <v/>
      </c>
      <c r="V160" s="13">
        <f>T160+U160</f>
        <v/>
      </c>
      <c r="W160" s="13">
        <f>IFERROR((H160*5+I160*3+J160*0+K160*0)/F160,0)</f>
        <v/>
      </c>
      <c r="X160" s="13">
        <f>IFERROR((2*(P160/90))+(T160/90*5)+(U160/90*3)+(O160/F160*2)+(W160*0.5),0)</f>
        <v/>
      </c>
      <c r="Y160" s="13">
        <f>IF(X160="","",X160*S160*(P160/90))</f>
        <v/>
      </c>
      <c r="Z160" s="14">
        <f>IFERROR(Y160/D160,0)</f>
        <v/>
      </c>
      <c r="AA160" s="15">
        <f>IF(P160="","",MAX(0,1-P160/90))</f>
        <v/>
      </c>
      <c r="AB160" s="13">
        <f>IFERROR(Y160*(1+0.20*W160+0.15*Z160)*(1-AA160*0.75),0)</f>
        <v/>
      </c>
      <c r="AC160" s="13">
        <f>IFERROR((T160+U160)*S160*(P160/90)*(1+0.25*(3-R160)),0)</f>
        <v/>
      </c>
      <c r="AD160" s="8" t="n"/>
    </row>
    <row r="161">
      <c r="A161" s="8" t="n"/>
      <c r="B161" s="8" t="n"/>
      <c r="C161" s="8" t="n"/>
      <c r="D161" s="9" t="n"/>
      <c r="E161" s="10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11" t="n"/>
      <c r="R161" s="12" t="n"/>
      <c r="S161" s="5">
        <f>IF(R161="","",1+(3-R161)*0.10)</f>
        <v/>
      </c>
      <c r="T161" s="13">
        <f>IFERROR(H161/F161*90,0)</f>
        <v/>
      </c>
      <c r="U161" s="13">
        <f>IFERROR(I161/F161*90,0)</f>
        <v/>
      </c>
      <c r="V161" s="13">
        <f>T161+U161</f>
        <v/>
      </c>
      <c r="W161" s="13">
        <f>IFERROR((H161*5+I161*3+J161*0+K161*0)/F161,0)</f>
        <v/>
      </c>
      <c r="X161" s="13">
        <f>IFERROR((2*(P161/90))+(T161/90*5)+(U161/90*3)+(O161/F161*2)+(W161*0.5),0)</f>
        <v/>
      </c>
      <c r="Y161" s="13">
        <f>IF(X161="","",X161*S161*(P161/90))</f>
        <v/>
      </c>
      <c r="Z161" s="14">
        <f>IFERROR(Y161/D161,0)</f>
        <v/>
      </c>
      <c r="AA161" s="15">
        <f>IF(P161="","",MAX(0,1-P161/90))</f>
        <v/>
      </c>
      <c r="AB161" s="13">
        <f>IFERROR(Y161*(1+0.20*W161+0.15*Z161)*(1-AA161*0.75),0)</f>
        <v/>
      </c>
      <c r="AC161" s="13">
        <f>IFERROR((T161+U161)*S161*(P161/90)*(1+0.25*(3-R161)),0)</f>
        <v/>
      </c>
      <c r="AD161" s="8" t="n"/>
    </row>
    <row r="162">
      <c r="A162" s="8" t="n"/>
      <c r="B162" s="8" t="n"/>
      <c r="C162" s="8" t="n"/>
      <c r="D162" s="9" t="n"/>
      <c r="E162" s="10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11" t="n"/>
      <c r="R162" s="12" t="n"/>
      <c r="S162" s="5">
        <f>IF(R162="","",1+(3-R162)*0.10)</f>
        <v/>
      </c>
      <c r="T162" s="13">
        <f>IFERROR(H162/F162*90,0)</f>
        <v/>
      </c>
      <c r="U162" s="13">
        <f>IFERROR(I162/F162*90,0)</f>
        <v/>
      </c>
      <c r="V162" s="13">
        <f>T162+U162</f>
        <v/>
      </c>
      <c r="W162" s="13">
        <f>IFERROR((H162*5+I162*3+J162*0+K162*0)/F162,0)</f>
        <v/>
      </c>
      <c r="X162" s="13">
        <f>IFERROR((2*(P162/90))+(T162/90*5)+(U162/90*3)+(O162/F162*2)+(W162*0.5),0)</f>
        <v/>
      </c>
      <c r="Y162" s="13">
        <f>IF(X162="","",X162*S162*(P162/90))</f>
        <v/>
      </c>
      <c r="Z162" s="14">
        <f>IFERROR(Y162/D162,0)</f>
        <v/>
      </c>
      <c r="AA162" s="15">
        <f>IF(P162="","",MAX(0,1-P162/90))</f>
        <v/>
      </c>
      <c r="AB162" s="13">
        <f>IFERROR(Y162*(1+0.20*W162+0.15*Z162)*(1-AA162*0.75),0)</f>
        <v/>
      </c>
      <c r="AC162" s="13">
        <f>IFERROR((T162+U162)*S162*(P162/90)*(1+0.25*(3-R162)),0)</f>
        <v/>
      </c>
      <c r="AD162" s="8" t="n"/>
    </row>
    <row r="163">
      <c r="A163" s="8" t="n"/>
      <c r="B163" s="8" t="n"/>
      <c r="C163" s="8" t="n"/>
      <c r="D163" s="9" t="n"/>
      <c r="E163" s="10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11" t="n"/>
      <c r="R163" s="12" t="n"/>
      <c r="S163" s="5">
        <f>IF(R163="","",1+(3-R163)*0.10)</f>
        <v/>
      </c>
      <c r="T163" s="13">
        <f>IFERROR(H163/F163*90,0)</f>
        <v/>
      </c>
      <c r="U163" s="13">
        <f>IFERROR(I163/F163*90,0)</f>
        <v/>
      </c>
      <c r="V163" s="13">
        <f>T163+U163</f>
        <v/>
      </c>
      <c r="W163" s="13">
        <f>IFERROR((H163*5+I163*3+J163*0+K163*0)/F163,0)</f>
        <v/>
      </c>
      <c r="X163" s="13">
        <f>IFERROR((2*(P163/90))+(T163/90*5)+(U163/90*3)+(O163/F163*2)+(W163*0.5),0)</f>
        <v/>
      </c>
      <c r="Y163" s="13">
        <f>IF(X163="","",X163*S163*(P163/90))</f>
        <v/>
      </c>
      <c r="Z163" s="14">
        <f>IFERROR(Y163/D163,0)</f>
        <v/>
      </c>
      <c r="AA163" s="15">
        <f>IF(P163="","",MAX(0,1-P163/90))</f>
        <v/>
      </c>
      <c r="AB163" s="13">
        <f>IFERROR(Y163*(1+0.20*W163+0.15*Z163)*(1-AA163*0.75),0)</f>
        <v/>
      </c>
      <c r="AC163" s="13">
        <f>IFERROR((T163+U163)*S163*(P163/90)*(1+0.25*(3-R163)),0)</f>
        <v/>
      </c>
      <c r="AD163" s="8" t="n"/>
    </row>
    <row r="164">
      <c r="A164" s="8" t="n"/>
      <c r="B164" s="8" t="n"/>
      <c r="C164" s="8" t="n"/>
      <c r="D164" s="9" t="n"/>
      <c r="E164" s="10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11" t="n"/>
      <c r="R164" s="12" t="n"/>
      <c r="S164" s="5">
        <f>IF(R164="","",1+(3-R164)*0.10)</f>
        <v/>
      </c>
      <c r="T164" s="13">
        <f>IFERROR(H164/F164*90,0)</f>
        <v/>
      </c>
      <c r="U164" s="13">
        <f>IFERROR(I164/F164*90,0)</f>
        <v/>
      </c>
      <c r="V164" s="13">
        <f>T164+U164</f>
        <v/>
      </c>
      <c r="W164" s="13">
        <f>IFERROR((H164*5+I164*3+J164*0+K164*0)/F164,0)</f>
        <v/>
      </c>
      <c r="X164" s="13">
        <f>IFERROR((2*(P164/90))+(T164/90*5)+(U164/90*3)+(O164/F164*2)+(W164*0.5),0)</f>
        <v/>
      </c>
      <c r="Y164" s="13">
        <f>IF(X164="","",X164*S164*(P164/90))</f>
        <v/>
      </c>
      <c r="Z164" s="14">
        <f>IFERROR(Y164/D164,0)</f>
        <v/>
      </c>
      <c r="AA164" s="15">
        <f>IF(P164="","",MAX(0,1-P164/90))</f>
        <v/>
      </c>
      <c r="AB164" s="13">
        <f>IFERROR(Y164*(1+0.20*W164+0.15*Z164)*(1-AA164*0.75),0)</f>
        <v/>
      </c>
      <c r="AC164" s="13">
        <f>IFERROR((T164+U164)*S164*(P164/90)*(1+0.25*(3-R164)),0)</f>
        <v/>
      </c>
      <c r="AD164" s="8" t="n"/>
    </row>
    <row r="165">
      <c r="A165" s="8" t="n"/>
      <c r="B165" s="8" t="n"/>
      <c r="C165" s="8" t="n"/>
      <c r="D165" s="9" t="n"/>
      <c r="E165" s="10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11" t="n"/>
      <c r="R165" s="12" t="n"/>
      <c r="S165" s="5">
        <f>IF(R165="","",1+(3-R165)*0.10)</f>
        <v/>
      </c>
      <c r="T165" s="13">
        <f>IFERROR(H165/F165*90,0)</f>
        <v/>
      </c>
      <c r="U165" s="13">
        <f>IFERROR(I165/F165*90,0)</f>
        <v/>
      </c>
      <c r="V165" s="13">
        <f>T165+U165</f>
        <v/>
      </c>
      <c r="W165" s="13">
        <f>IFERROR((H165*5+I165*3+J165*0+K165*0)/F165,0)</f>
        <v/>
      </c>
      <c r="X165" s="13">
        <f>IFERROR((2*(P165/90))+(T165/90*5)+(U165/90*3)+(O165/F165*2)+(W165*0.5),0)</f>
        <v/>
      </c>
      <c r="Y165" s="13">
        <f>IF(X165="","",X165*S165*(P165/90))</f>
        <v/>
      </c>
      <c r="Z165" s="14">
        <f>IFERROR(Y165/D165,0)</f>
        <v/>
      </c>
      <c r="AA165" s="15">
        <f>IF(P165="","",MAX(0,1-P165/90))</f>
        <v/>
      </c>
      <c r="AB165" s="13">
        <f>IFERROR(Y165*(1+0.20*W165+0.15*Z165)*(1-AA165*0.75),0)</f>
        <v/>
      </c>
      <c r="AC165" s="13">
        <f>IFERROR((T165+U165)*S165*(P165/90)*(1+0.25*(3-R165)),0)</f>
        <v/>
      </c>
      <c r="AD165" s="8" t="n"/>
    </row>
    <row r="166">
      <c r="A166" s="8" t="n"/>
      <c r="B166" s="8" t="n"/>
      <c r="C166" s="8" t="n"/>
      <c r="D166" s="9" t="n"/>
      <c r="E166" s="10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11" t="n"/>
      <c r="R166" s="12" t="n"/>
      <c r="S166" s="5">
        <f>IF(R166="","",1+(3-R166)*0.10)</f>
        <v/>
      </c>
      <c r="T166" s="13">
        <f>IFERROR(H166/F166*90,0)</f>
        <v/>
      </c>
      <c r="U166" s="13">
        <f>IFERROR(I166/F166*90,0)</f>
        <v/>
      </c>
      <c r="V166" s="13">
        <f>T166+U166</f>
        <v/>
      </c>
      <c r="W166" s="13">
        <f>IFERROR((H166*5+I166*3+J166*0+K166*0)/F166,0)</f>
        <v/>
      </c>
      <c r="X166" s="13">
        <f>IFERROR((2*(P166/90))+(T166/90*5)+(U166/90*3)+(O166/F166*2)+(W166*0.5),0)</f>
        <v/>
      </c>
      <c r="Y166" s="13">
        <f>IF(X166="","",X166*S166*(P166/90))</f>
        <v/>
      </c>
      <c r="Z166" s="14">
        <f>IFERROR(Y166/D166,0)</f>
        <v/>
      </c>
      <c r="AA166" s="15">
        <f>IF(P166="","",MAX(0,1-P166/90))</f>
        <v/>
      </c>
      <c r="AB166" s="13">
        <f>IFERROR(Y166*(1+0.20*W166+0.15*Z166)*(1-AA166*0.75),0)</f>
        <v/>
      </c>
      <c r="AC166" s="13">
        <f>IFERROR((T166+U166)*S166*(P166/90)*(1+0.25*(3-R166)),0)</f>
        <v/>
      </c>
      <c r="AD166" s="8" t="n"/>
    </row>
    <row r="167">
      <c r="A167" s="8" t="n"/>
      <c r="B167" s="8" t="n"/>
      <c r="C167" s="8" t="n"/>
      <c r="D167" s="9" t="n"/>
      <c r="E167" s="10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11" t="n"/>
      <c r="R167" s="12" t="n"/>
      <c r="S167" s="5">
        <f>IF(R167="","",1+(3-R167)*0.10)</f>
        <v/>
      </c>
      <c r="T167" s="13">
        <f>IFERROR(H167/F167*90,0)</f>
        <v/>
      </c>
      <c r="U167" s="13">
        <f>IFERROR(I167/F167*90,0)</f>
        <v/>
      </c>
      <c r="V167" s="13">
        <f>T167+U167</f>
        <v/>
      </c>
      <c r="W167" s="13">
        <f>IFERROR((H167*5+I167*3+J167*0+K167*0)/F167,0)</f>
        <v/>
      </c>
      <c r="X167" s="13">
        <f>IFERROR((2*(P167/90))+(T167/90*5)+(U167/90*3)+(O167/F167*2)+(W167*0.5),0)</f>
        <v/>
      </c>
      <c r="Y167" s="13">
        <f>IF(X167="","",X167*S167*(P167/90))</f>
        <v/>
      </c>
      <c r="Z167" s="14">
        <f>IFERROR(Y167/D167,0)</f>
        <v/>
      </c>
      <c r="AA167" s="15">
        <f>IF(P167="","",MAX(0,1-P167/90))</f>
        <v/>
      </c>
      <c r="AB167" s="13">
        <f>IFERROR(Y167*(1+0.20*W167+0.15*Z167)*(1-AA167*0.75),0)</f>
        <v/>
      </c>
      <c r="AC167" s="13">
        <f>IFERROR((T167+U167)*S167*(P167/90)*(1+0.25*(3-R167)),0)</f>
        <v/>
      </c>
      <c r="AD167" s="8" t="n"/>
    </row>
    <row r="168">
      <c r="A168" s="8" t="n"/>
      <c r="B168" s="8" t="n"/>
      <c r="C168" s="8" t="n"/>
      <c r="D168" s="9" t="n"/>
      <c r="E168" s="10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11" t="n"/>
      <c r="R168" s="12" t="n"/>
      <c r="S168" s="5">
        <f>IF(R168="","",1+(3-R168)*0.10)</f>
        <v/>
      </c>
      <c r="T168" s="13">
        <f>IFERROR(H168/F168*90,0)</f>
        <v/>
      </c>
      <c r="U168" s="13">
        <f>IFERROR(I168/F168*90,0)</f>
        <v/>
      </c>
      <c r="V168" s="13">
        <f>T168+U168</f>
        <v/>
      </c>
      <c r="W168" s="13">
        <f>IFERROR((H168*5+I168*3+J168*0+K168*0)/F168,0)</f>
        <v/>
      </c>
      <c r="X168" s="13">
        <f>IFERROR((2*(P168/90))+(T168/90*5)+(U168/90*3)+(O168/F168*2)+(W168*0.5),0)</f>
        <v/>
      </c>
      <c r="Y168" s="13">
        <f>IF(X168="","",X168*S168*(P168/90))</f>
        <v/>
      </c>
      <c r="Z168" s="14">
        <f>IFERROR(Y168/D168,0)</f>
        <v/>
      </c>
      <c r="AA168" s="15">
        <f>IF(P168="","",MAX(0,1-P168/90))</f>
        <v/>
      </c>
      <c r="AB168" s="13">
        <f>IFERROR(Y168*(1+0.20*W168+0.15*Z168)*(1-AA168*0.75),0)</f>
        <v/>
      </c>
      <c r="AC168" s="13">
        <f>IFERROR((T168+U168)*S168*(P168/90)*(1+0.25*(3-R168)),0)</f>
        <v/>
      </c>
      <c r="AD168" s="8" t="n"/>
    </row>
    <row r="169">
      <c r="A169" s="8" t="n"/>
      <c r="B169" s="8" t="n"/>
      <c r="C169" s="8" t="n"/>
      <c r="D169" s="9" t="n"/>
      <c r="E169" s="10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11" t="n"/>
      <c r="R169" s="12" t="n"/>
      <c r="S169" s="5">
        <f>IF(R169="","",1+(3-R169)*0.10)</f>
        <v/>
      </c>
      <c r="T169" s="13">
        <f>IFERROR(H169/F169*90,0)</f>
        <v/>
      </c>
      <c r="U169" s="13">
        <f>IFERROR(I169/F169*90,0)</f>
        <v/>
      </c>
      <c r="V169" s="13">
        <f>T169+U169</f>
        <v/>
      </c>
      <c r="W169" s="13">
        <f>IFERROR((H169*5+I169*3+J169*0+K169*0)/F169,0)</f>
        <v/>
      </c>
      <c r="X169" s="13">
        <f>IFERROR((2*(P169/90))+(T169/90*5)+(U169/90*3)+(O169/F169*2)+(W169*0.5),0)</f>
        <v/>
      </c>
      <c r="Y169" s="13">
        <f>IF(X169="","",X169*S169*(P169/90))</f>
        <v/>
      </c>
      <c r="Z169" s="14">
        <f>IFERROR(Y169/D169,0)</f>
        <v/>
      </c>
      <c r="AA169" s="15">
        <f>IF(P169="","",MAX(0,1-P169/90))</f>
        <v/>
      </c>
      <c r="AB169" s="13">
        <f>IFERROR(Y169*(1+0.20*W169+0.15*Z169)*(1-AA169*0.75),0)</f>
        <v/>
      </c>
      <c r="AC169" s="13">
        <f>IFERROR((T169+U169)*S169*(P169/90)*(1+0.25*(3-R169)),0)</f>
        <v/>
      </c>
      <c r="AD169" s="8" t="n"/>
    </row>
    <row r="170">
      <c r="A170" s="8" t="n"/>
      <c r="B170" s="8" t="n"/>
      <c r="C170" s="8" t="n"/>
      <c r="D170" s="9" t="n"/>
      <c r="E170" s="10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11" t="n"/>
      <c r="R170" s="12" t="n"/>
      <c r="S170" s="5">
        <f>IF(R170="","",1+(3-R170)*0.10)</f>
        <v/>
      </c>
      <c r="T170" s="13">
        <f>IFERROR(H170/F170*90,0)</f>
        <v/>
      </c>
      <c r="U170" s="13">
        <f>IFERROR(I170/F170*90,0)</f>
        <v/>
      </c>
      <c r="V170" s="13">
        <f>T170+U170</f>
        <v/>
      </c>
      <c r="W170" s="13">
        <f>IFERROR((H170*5+I170*3+J170*0+K170*0)/F170,0)</f>
        <v/>
      </c>
      <c r="X170" s="13">
        <f>IFERROR((2*(P170/90))+(T170/90*5)+(U170/90*3)+(O170/F170*2)+(W170*0.5),0)</f>
        <v/>
      </c>
      <c r="Y170" s="13">
        <f>IF(X170="","",X170*S170*(P170/90))</f>
        <v/>
      </c>
      <c r="Z170" s="14">
        <f>IFERROR(Y170/D170,0)</f>
        <v/>
      </c>
      <c r="AA170" s="15">
        <f>IF(P170="","",MAX(0,1-P170/90))</f>
        <v/>
      </c>
      <c r="AB170" s="13">
        <f>IFERROR(Y170*(1+0.20*W170+0.15*Z170)*(1-AA170*0.75),0)</f>
        <v/>
      </c>
      <c r="AC170" s="13">
        <f>IFERROR((T170+U170)*S170*(P170/90)*(1+0.25*(3-R170)),0)</f>
        <v/>
      </c>
      <c r="AD170" s="8" t="n"/>
    </row>
    <row r="171">
      <c r="A171" s="8" t="n"/>
      <c r="B171" s="8" t="n"/>
      <c r="C171" s="8" t="n"/>
      <c r="D171" s="9" t="n"/>
      <c r="E171" s="10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11" t="n"/>
      <c r="R171" s="12" t="n"/>
      <c r="S171" s="5">
        <f>IF(R171="","",1+(3-R171)*0.10)</f>
        <v/>
      </c>
      <c r="T171" s="13">
        <f>IFERROR(H171/F171*90,0)</f>
        <v/>
      </c>
      <c r="U171" s="13">
        <f>IFERROR(I171/F171*90,0)</f>
        <v/>
      </c>
      <c r="V171" s="13">
        <f>T171+U171</f>
        <v/>
      </c>
      <c r="W171" s="13">
        <f>IFERROR((H171*5+I171*3+J171*0+K171*0)/F171,0)</f>
        <v/>
      </c>
      <c r="X171" s="13">
        <f>IFERROR((2*(P171/90))+(T171/90*5)+(U171/90*3)+(O171/F171*2)+(W171*0.5),0)</f>
        <v/>
      </c>
      <c r="Y171" s="13">
        <f>IF(X171="","",X171*S171*(P171/90))</f>
        <v/>
      </c>
      <c r="Z171" s="14">
        <f>IFERROR(Y171/D171,0)</f>
        <v/>
      </c>
      <c r="AA171" s="15">
        <f>IF(P171="","",MAX(0,1-P171/90))</f>
        <v/>
      </c>
      <c r="AB171" s="13">
        <f>IFERROR(Y171*(1+0.20*W171+0.15*Z171)*(1-AA171*0.75),0)</f>
        <v/>
      </c>
      <c r="AC171" s="13">
        <f>IFERROR((T171+U171)*S171*(P171/90)*(1+0.25*(3-R171)),0)</f>
        <v/>
      </c>
      <c r="AD171" s="8" t="n"/>
    </row>
    <row r="172">
      <c r="A172" s="8" t="n"/>
      <c r="B172" s="8" t="n"/>
      <c r="C172" s="8" t="n"/>
      <c r="D172" s="9" t="n"/>
      <c r="E172" s="10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11" t="n"/>
      <c r="R172" s="12" t="n"/>
      <c r="S172" s="5">
        <f>IF(R172="","",1+(3-R172)*0.10)</f>
        <v/>
      </c>
      <c r="T172" s="13">
        <f>IFERROR(H172/F172*90,0)</f>
        <v/>
      </c>
      <c r="U172" s="13">
        <f>IFERROR(I172/F172*90,0)</f>
        <v/>
      </c>
      <c r="V172" s="13">
        <f>T172+U172</f>
        <v/>
      </c>
      <c r="W172" s="13">
        <f>IFERROR((H172*5+I172*3+J172*0+K172*0)/F172,0)</f>
        <v/>
      </c>
      <c r="X172" s="13">
        <f>IFERROR((2*(P172/90))+(T172/90*5)+(U172/90*3)+(O172/F172*2)+(W172*0.5),0)</f>
        <v/>
      </c>
      <c r="Y172" s="13">
        <f>IF(X172="","",X172*S172*(P172/90))</f>
        <v/>
      </c>
      <c r="Z172" s="14">
        <f>IFERROR(Y172/D172,0)</f>
        <v/>
      </c>
      <c r="AA172" s="15">
        <f>IF(P172="","",MAX(0,1-P172/90))</f>
        <v/>
      </c>
      <c r="AB172" s="13">
        <f>IFERROR(Y172*(1+0.20*W172+0.15*Z172)*(1-AA172*0.75),0)</f>
        <v/>
      </c>
      <c r="AC172" s="13">
        <f>IFERROR((T172+U172)*S172*(P172/90)*(1+0.25*(3-R172)),0)</f>
        <v/>
      </c>
      <c r="AD172" s="8" t="n"/>
    </row>
    <row r="173">
      <c r="A173" s="8" t="n"/>
      <c r="B173" s="8" t="n"/>
      <c r="C173" s="8" t="n"/>
      <c r="D173" s="9" t="n"/>
      <c r="E173" s="10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11" t="n"/>
      <c r="R173" s="12" t="n"/>
      <c r="S173" s="5">
        <f>IF(R173="","",1+(3-R173)*0.10)</f>
        <v/>
      </c>
      <c r="T173" s="13">
        <f>IFERROR(H173/F173*90,0)</f>
        <v/>
      </c>
      <c r="U173" s="13">
        <f>IFERROR(I173/F173*90,0)</f>
        <v/>
      </c>
      <c r="V173" s="13">
        <f>T173+U173</f>
        <v/>
      </c>
      <c r="W173" s="13">
        <f>IFERROR((H173*5+I173*3+J173*0+K173*0)/F173,0)</f>
        <v/>
      </c>
      <c r="X173" s="13">
        <f>IFERROR((2*(P173/90))+(T173/90*5)+(U173/90*3)+(O173/F173*2)+(W173*0.5),0)</f>
        <v/>
      </c>
      <c r="Y173" s="13">
        <f>IF(X173="","",X173*S173*(P173/90))</f>
        <v/>
      </c>
      <c r="Z173" s="14">
        <f>IFERROR(Y173/D173,0)</f>
        <v/>
      </c>
      <c r="AA173" s="15">
        <f>IF(P173="","",MAX(0,1-P173/90))</f>
        <v/>
      </c>
      <c r="AB173" s="13">
        <f>IFERROR(Y173*(1+0.20*W173+0.15*Z173)*(1-AA173*0.75),0)</f>
        <v/>
      </c>
      <c r="AC173" s="13">
        <f>IFERROR((T173+U173)*S173*(P173/90)*(1+0.25*(3-R173)),0)</f>
        <v/>
      </c>
      <c r="AD173" s="8" t="n"/>
    </row>
    <row r="174">
      <c r="A174" s="8" t="n"/>
      <c r="B174" s="8" t="n"/>
      <c r="C174" s="8" t="n"/>
      <c r="D174" s="9" t="n"/>
      <c r="E174" s="10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11" t="n"/>
      <c r="R174" s="12" t="n"/>
      <c r="S174" s="5">
        <f>IF(R174="","",1+(3-R174)*0.10)</f>
        <v/>
      </c>
      <c r="T174" s="13">
        <f>IFERROR(H174/F174*90,0)</f>
        <v/>
      </c>
      <c r="U174" s="13">
        <f>IFERROR(I174/F174*90,0)</f>
        <v/>
      </c>
      <c r="V174" s="13">
        <f>T174+U174</f>
        <v/>
      </c>
      <c r="W174" s="13">
        <f>IFERROR((H174*5+I174*3+J174*0+K174*0)/F174,0)</f>
        <v/>
      </c>
      <c r="X174" s="13">
        <f>IFERROR((2*(P174/90))+(T174/90*5)+(U174/90*3)+(O174/F174*2)+(W174*0.5),0)</f>
        <v/>
      </c>
      <c r="Y174" s="13">
        <f>IF(X174="","",X174*S174*(P174/90))</f>
        <v/>
      </c>
      <c r="Z174" s="14">
        <f>IFERROR(Y174/D174,0)</f>
        <v/>
      </c>
      <c r="AA174" s="15">
        <f>IF(P174="","",MAX(0,1-P174/90))</f>
        <v/>
      </c>
      <c r="AB174" s="13">
        <f>IFERROR(Y174*(1+0.20*W174+0.15*Z174)*(1-AA174*0.75),0)</f>
        <v/>
      </c>
      <c r="AC174" s="13">
        <f>IFERROR((T174+U174)*S174*(P174/90)*(1+0.25*(3-R174)),0)</f>
        <v/>
      </c>
      <c r="AD174" s="8" t="n"/>
    </row>
    <row r="175">
      <c r="A175" s="8" t="n"/>
      <c r="B175" s="8" t="n"/>
      <c r="C175" s="8" t="n"/>
      <c r="D175" s="9" t="n"/>
      <c r="E175" s="10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11" t="n"/>
      <c r="R175" s="12" t="n"/>
      <c r="S175" s="5">
        <f>IF(R175="","",1+(3-R175)*0.10)</f>
        <v/>
      </c>
      <c r="T175" s="13">
        <f>IFERROR(H175/F175*90,0)</f>
        <v/>
      </c>
      <c r="U175" s="13">
        <f>IFERROR(I175/F175*90,0)</f>
        <v/>
      </c>
      <c r="V175" s="13">
        <f>T175+U175</f>
        <v/>
      </c>
      <c r="W175" s="13">
        <f>IFERROR((H175*5+I175*3+J175*0+K175*0)/F175,0)</f>
        <v/>
      </c>
      <c r="X175" s="13">
        <f>IFERROR((2*(P175/90))+(T175/90*5)+(U175/90*3)+(O175/F175*2)+(W175*0.5),0)</f>
        <v/>
      </c>
      <c r="Y175" s="13">
        <f>IF(X175="","",X175*S175*(P175/90))</f>
        <v/>
      </c>
      <c r="Z175" s="14">
        <f>IFERROR(Y175/D175,0)</f>
        <v/>
      </c>
      <c r="AA175" s="15">
        <f>IF(P175="","",MAX(0,1-P175/90))</f>
        <v/>
      </c>
      <c r="AB175" s="13">
        <f>IFERROR(Y175*(1+0.20*W175+0.15*Z175)*(1-AA175*0.75),0)</f>
        <v/>
      </c>
      <c r="AC175" s="13">
        <f>IFERROR((T175+U175)*S175*(P175/90)*(1+0.25*(3-R175)),0)</f>
        <v/>
      </c>
      <c r="AD175" s="8" t="n"/>
    </row>
    <row r="176">
      <c r="A176" s="8" t="n"/>
      <c r="B176" s="8" t="n"/>
      <c r="C176" s="8" t="n"/>
      <c r="D176" s="9" t="n"/>
      <c r="E176" s="10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11" t="n"/>
      <c r="R176" s="12" t="n"/>
      <c r="S176" s="5">
        <f>IF(R176="","",1+(3-R176)*0.10)</f>
        <v/>
      </c>
      <c r="T176" s="13">
        <f>IFERROR(H176/F176*90,0)</f>
        <v/>
      </c>
      <c r="U176" s="13">
        <f>IFERROR(I176/F176*90,0)</f>
        <v/>
      </c>
      <c r="V176" s="13">
        <f>T176+U176</f>
        <v/>
      </c>
      <c r="W176" s="13">
        <f>IFERROR((H176*5+I176*3+J176*0+K176*0)/F176,0)</f>
        <v/>
      </c>
      <c r="X176" s="13">
        <f>IFERROR((2*(P176/90))+(T176/90*5)+(U176/90*3)+(O176/F176*2)+(W176*0.5),0)</f>
        <v/>
      </c>
      <c r="Y176" s="13">
        <f>IF(X176="","",X176*S176*(P176/90))</f>
        <v/>
      </c>
      <c r="Z176" s="14">
        <f>IFERROR(Y176/D176,0)</f>
        <v/>
      </c>
      <c r="AA176" s="15">
        <f>IF(P176="","",MAX(0,1-P176/90))</f>
        <v/>
      </c>
      <c r="AB176" s="13">
        <f>IFERROR(Y176*(1+0.20*W176+0.15*Z176)*(1-AA176*0.75),0)</f>
        <v/>
      </c>
      <c r="AC176" s="13">
        <f>IFERROR((T176+U176)*S176*(P176/90)*(1+0.25*(3-R176)),0)</f>
        <v/>
      </c>
      <c r="AD176" s="8" t="n"/>
    </row>
    <row r="177">
      <c r="A177" s="8" t="n"/>
      <c r="B177" s="8" t="n"/>
      <c r="C177" s="8" t="n"/>
      <c r="D177" s="9" t="n"/>
      <c r="E177" s="10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11" t="n"/>
      <c r="R177" s="12" t="n"/>
      <c r="S177" s="5">
        <f>IF(R177="","",1+(3-R177)*0.10)</f>
        <v/>
      </c>
      <c r="T177" s="13">
        <f>IFERROR(H177/F177*90,0)</f>
        <v/>
      </c>
      <c r="U177" s="13">
        <f>IFERROR(I177/F177*90,0)</f>
        <v/>
      </c>
      <c r="V177" s="13">
        <f>T177+U177</f>
        <v/>
      </c>
      <c r="W177" s="13">
        <f>IFERROR((H177*5+I177*3+J177*0+K177*0)/F177,0)</f>
        <v/>
      </c>
      <c r="X177" s="13">
        <f>IFERROR((2*(P177/90))+(T177/90*5)+(U177/90*3)+(O177/F177*2)+(W177*0.5),0)</f>
        <v/>
      </c>
      <c r="Y177" s="13">
        <f>IF(X177="","",X177*S177*(P177/90))</f>
        <v/>
      </c>
      <c r="Z177" s="14">
        <f>IFERROR(Y177/D177,0)</f>
        <v/>
      </c>
      <c r="AA177" s="15">
        <f>IF(P177="","",MAX(0,1-P177/90))</f>
        <v/>
      </c>
      <c r="AB177" s="13">
        <f>IFERROR(Y177*(1+0.20*W177+0.15*Z177)*(1-AA177*0.75),0)</f>
        <v/>
      </c>
      <c r="AC177" s="13">
        <f>IFERROR((T177+U177)*S177*(P177/90)*(1+0.25*(3-R177)),0)</f>
        <v/>
      </c>
      <c r="AD177" s="8" t="n"/>
    </row>
    <row r="178">
      <c r="A178" s="8" t="n"/>
      <c r="B178" s="8" t="n"/>
      <c r="C178" s="8" t="n"/>
      <c r="D178" s="9" t="n"/>
      <c r="E178" s="10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11" t="n"/>
      <c r="R178" s="12" t="n"/>
      <c r="S178" s="5">
        <f>IF(R178="","",1+(3-R178)*0.10)</f>
        <v/>
      </c>
      <c r="T178" s="13">
        <f>IFERROR(H178/F178*90,0)</f>
        <v/>
      </c>
      <c r="U178" s="13">
        <f>IFERROR(I178/F178*90,0)</f>
        <v/>
      </c>
      <c r="V178" s="13">
        <f>T178+U178</f>
        <v/>
      </c>
      <c r="W178" s="13">
        <f>IFERROR((H178*5+I178*3+J178*0+K178*0)/F178,0)</f>
        <v/>
      </c>
      <c r="X178" s="13">
        <f>IFERROR((2*(P178/90))+(T178/90*5)+(U178/90*3)+(O178/F178*2)+(W178*0.5),0)</f>
        <v/>
      </c>
      <c r="Y178" s="13">
        <f>IF(X178="","",X178*S178*(P178/90))</f>
        <v/>
      </c>
      <c r="Z178" s="14">
        <f>IFERROR(Y178/D178,0)</f>
        <v/>
      </c>
      <c r="AA178" s="15">
        <f>IF(P178="","",MAX(0,1-P178/90))</f>
        <v/>
      </c>
      <c r="AB178" s="13">
        <f>IFERROR(Y178*(1+0.20*W178+0.15*Z178)*(1-AA178*0.75),0)</f>
        <v/>
      </c>
      <c r="AC178" s="13">
        <f>IFERROR((T178+U178)*S178*(P178/90)*(1+0.25*(3-R178)),0)</f>
        <v/>
      </c>
      <c r="AD178" s="8" t="n"/>
    </row>
    <row r="179">
      <c r="A179" s="8" t="n"/>
      <c r="B179" s="8" t="n"/>
      <c r="C179" s="8" t="n"/>
      <c r="D179" s="9" t="n"/>
      <c r="E179" s="10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11" t="n"/>
      <c r="R179" s="12" t="n"/>
      <c r="S179" s="5">
        <f>IF(R179="","",1+(3-R179)*0.10)</f>
        <v/>
      </c>
      <c r="T179" s="13">
        <f>IFERROR(H179/F179*90,0)</f>
        <v/>
      </c>
      <c r="U179" s="13">
        <f>IFERROR(I179/F179*90,0)</f>
        <v/>
      </c>
      <c r="V179" s="13">
        <f>T179+U179</f>
        <v/>
      </c>
      <c r="W179" s="13">
        <f>IFERROR((H179*5+I179*3+J179*0+K179*0)/F179,0)</f>
        <v/>
      </c>
      <c r="X179" s="13">
        <f>IFERROR((2*(P179/90))+(T179/90*5)+(U179/90*3)+(O179/F179*2)+(W179*0.5),0)</f>
        <v/>
      </c>
      <c r="Y179" s="13">
        <f>IF(X179="","",X179*S179*(P179/90))</f>
        <v/>
      </c>
      <c r="Z179" s="14">
        <f>IFERROR(Y179/D179,0)</f>
        <v/>
      </c>
      <c r="AA179" s="15">
        <f>IF(P179="","",MAX(0,1-P179/90))</f>
        <v/>
      </c>
      <c r="AB179" s="13">
        <f>IFERROR(Y179*(1+0.20*W179+0.15*Z179)*(1-AA179*0.75),0)</f>
        <v/>
      </c>
      <c r="AC179" s="13">
        <f>IFERROR((T179+U179)*S179*(P179/90)*(1+0.25*(3-R179)),0)</f>
        <v/>
      </c>
      <c r="AD179" s="8" t="n"/>
    </row>
    <row r="180">
      <c r="A180" s="8" t="n"/>
      <c r="B180" s="8" t="n"/>
      <c r="C180" s="8" t="n"/>
      <c r="D180" s="9" t="n"/>
      <c r="E180" s="10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11" t="n"/>
      <c r="R180" s="12" t="n"/>
      <c r="S180" s="5">
        <f>IF(R180="","",1+(3-R180)*0.10)</f>
        <v/>
      </c>
      <c r="T180" s="13">
        <f>IFERROR(H180/F180*90,0)</f>
        <v/>
      </c>
      <c r="U180" s="13">
        <f>IFERROR(I180/F180*90,0)</f>
        <v/>
      </c>
      <c r="V180" s="13">
        <f>T180+U180</f>
        <v/>
      </c>
      <c r="W180" s="13">
        <f>IFERROR((H180*5+I180*3+J180*0+K180*0)/F180,0)</f>
        <v/>
      </c>
      <c r="X180" s="13">
        <f>IFERROR((2*(P180/90))+(T180/90*5)+(U180/90*3)+(O180/F180*2)+(W180*0.5),0)</f>
        <v/>
      </c>
      <c r="Y180" s="13">
        <f>IF(X180="","",X180*S180*(P180/90))</f>
        <v/>
      </c>
      <c r="Z180" s="14">
        <f>IFERROR(Y180/D180,0)</f>
        <v/>
      </c>
      <c r="AA180" s="15">
        <f>IF(P180="","",MAX(0,1-P180/90))</f>
        <v/>
      </c>
      <c r="AB180" s="13">
        <f>IFERROR(Y180*(1+0.20*W180+0.15*Z180)*(1-AA180*0.75),0)</f>
        <v/>
      </c>
      <c r="AC180" s="13">
        <f>IFERROR((T180+U180)*S180*(P180/90)*(1+0.25*(3-R180)),0)</f>
        <v/>
      </c>
      <c r="AD180" s="8" t="n"/>
    </row>
    <row r="181">
      <c r="A181" s="8" t="n"/>
      <c r="B181" s="8" t="n"/>
      <c r="C181" s="8" t="n"/>
      <c r="D181" s="9" t="n"/>
      <c r="E181" s="10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11" t="n"/>
      <c r="R181" s="12" t="n"/>
      <c r="S181" s="5">
        <f>IF(R181="","",1+(3-R181)*0.10)</f>
        <v/>
      </c>
      <c r="T181" s="13">
        <f>IFERROR(H181/F181*90,0)</f>
        <v/>
      </c>
      <c r="U181" s="13">
        <f>IFERROR(I181/F181*90,0)</f>
        <v/>
      </c>
      <c r="V181" s="13">
        <f>T181+U181</f>
        <v/>
      </c>
      <c r="W181" s="13">
        <f>IFERROR((H181*5+I181*3+J181*0+K181*0)/F181,0)</f>
        <v/>
      </c>
      <c r="X181" s="13">
        <f>IFERROR((2*(P181/90))+(T181/90*5)+(U181/90*3)+(O181/F181*2)+(W181*0.5),0)</f>
        <v/>
      </c>
      <c r="Y181" s="13">
        <f>IF(X181="","",X181*S181*(P181/90))</f>
        <v/>
      </c>
      <c r="Z181" s="14">
        <f>IFERROR(Y181/D181,0)</f>
        <v/>
      </c>
      <c r="AA181" s="15">
        <f>IF(P181="","",MAX(0,1-P181/90))</f>
        <v/>
      </c>
      <c r="AB181" s="13">
        <f>IFERROR(Y181*(1+0.20*W181+0.15*Z181)*(1-AA181*0.75),0)</f>
        <v/>
      </c>
      <c r="AC181" s="13">
        <f>IFERROR((T181+U181)*S181*(P181/90)*(1+0.25*(3-R181)),0)</f>
        <v/>
      </c>
      <c r="AD181" s="8" t="n"/>
    </row>
    <row r="182">
      <c r="A182" s="8" t="n"/>
      <c r="B182" s="8" t="n"/>
      <c r="C182" s="8" t="n"/>
      <c r="D182" s="9" t="n"/>
      <c r="E182" s="10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11" t="n"/>
      <c r="R182" s="12" t="n"/>
      <c r="S182" s="5">
        <f>IF(R182="","",1+(3-R182)*0.10)</f>
        <v/>
      </c>
      <c r="T182" s="13">
        <f>IFERROR(H182/F182*90,0)</f>
        <v/>
      </c>
      <c r="U182" s="13">
        <f>IFERROR(I182/F182*90,0)</f>
        <v/>
      </c>
      <c r="V182" s="13">
        <f>T182+U182</f>
        <v/>
      </c>
      <c r="W182" s="13">
        <f>IFERROR((H182*5+I182*3+J182*0+K182*0)/F182,0)</f>
        <v/>
      </c>
      <c r="X182" s="13">
        <f>IFERROR((2*(P182/90))+(T182/90*5)+(U182/90*3)+(O182/F182*2)+(W182*0.5),0)</f>
        <v/>
      </c>
      <c r="Y182" s="13">
        <f>IF(X182="","",X182*S182*(P182/90))</f>
        <v/>
      </c>
      <c r="Z182" s="14">
        <f>IFERROR(Y182/D182,0)</f>
        <v/>
      </c>
      <c r="AA182" s="15">
        <f>IF(P182="","",MAX(0,1-P182/90))</f>
        <v/>
      </c>
      <c r="AB182" s="13">
        <f>IFERROR(Y182*(1+0.20*W182+0.15*Z182)*(1-AA182*0.75),0)</f>
        <v/>
      </c>
      <c r="AC182" s="13">
        <f>IFERROR((T182+U182)*S182*(P182/90)*(1+0.25*(3-R182)),0)</f>
        <v/>
      </c>
      <c r="AD182" s="8" t="n"/>
    </row>
    <row r="183">
      <c r="A183" s="8" t="n"/>
      <c r="B183" s="8" t="n"/>
      <c r="C183" s="8" t="n"/>
      <c r="D183" s="9" t="n"/>
      <c r="E183" s="10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11" t="n"/>
      <c r="R183" s="12" t="n"/>
      <c r="S183" s="5">
        <f>IF(R183="","",1+(3-R183)*0.10)</f>
        <v/>
      </c>
      <c r="T183" s="13">
        <f>IFERROR(H183/F183*90,0)</f>
        <v/>
      </c>
      <c r="U183" s="13">
        <f>IFERROR(I183/F183*90,0)</f>
        <v/>
      </c>
      <c r="V183" s="13">
        <f>T183+U183</f>
        <v/>
      </c>
      <c r="W183" s="13">
        <f>IFERROR((H183*5+I183*3+J183*0+K183*0)/F183,0)</f>
        <v/>
      </c>
      <c r="X183" s="13">
        <f>IFERROR((2*(P183/90))+(T183/90*5)+(U183/90*3)+(O183/F183*2)+(W183*0.5),0)</f>
        <v/>
      </c>
      <c r="Y183" s="13">
        <f>IF(X183="","",X183*S183*(P183/90))</f>
        <v/>
      </c>
      <c r="Z183" s="14">
        <f>IFERROR(Y183/D183,0)</f>
        <v/>
      </c>
      <c r="AA183" s="15">
        <f>IF(P183="","",MAX(0,1-P183/90))</f>
        <v/>
      </c>
      <c r="AB183" s="13">
        <f>IFERROR(Y183*(1+0.20*W183+0.15*Z183)*(1-AA183*0.75),0)</f>
        <v/>
      </c>
      <c r="AC183" s="13">
        <f>IFERROR((T183+U183)*S183*(P183/90)*(1+0.25*(3-R183)),0)</f>
        <v/>
      </c>
      <c r="AD183" s="8" t="n"/>
    </row>
    <row r="184">
      <c r="A184" s="8" t="n"/>
      <c r="B184" s="8" t="n"/>
      <c r="C184" s="8" t="n"/>
      <c r="D184" s="9" t="n"/>
      <c r="E184" s="10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11" t="n"/>
      <c r="R184" s="12" t="n"/>
      <c r="S184" s="5">
        <f>IF(R184="","",1+(3-R184)*0.10)</f>
        <v/>
      </c>
      <c r="T184" s="13">
        <f>IFERROR(H184/F184*90,0)</f>
        <v/>
      </c>
      <c r="U184" s="13">
        <f>IFERROR(I184/F184*90,0)</f>
        <v/>
      </c>
      <c r="V184" s="13">
        <f>T184+U184</f>
        <v/>
      </c>
      <c r="W184" s="13">
        <f>IFERROR((H184*5+I184*3+J184*0+K184*0)/F184,0)</f>
        <v/>
      </c>
      <c r="X184" s="13">
        <f>IFERROR((2*(P184/90))+(T184/90*5)+(U184/90*3)+(O184/F184*2)+(W184*0.5),0)</f>
        <v/>
      </c>
      <c r="Y184" s="13">
        <f>IF(X184="","",X184*S184*(P184/90))</f>
        <v/>
      </c>
      <c r="Z184" s="14">
        <f>IFERROR(Y184/D184,0)</f>
        <v/>
      </c>
      <c r="AA184" s="15">
        <f>IF(P184="","",MAX(0,1-P184/90))</f>
        <v/>
      </c>
      <c r="AB184" s="13">
        <f>IFERROR(Y184*(1+0.20*W184+0.15*Z184)*(1-AA184*0.75),0)</f>
        <v/>
      </c>
      <c r="AC184" s="13">
        <f>IFERROR((T184+U184)*S184*(P184/90)*(1+0.25*(3-R184)),0)</f>
        <v/>
      </c>
      <c r="AD184" s="8" t="n"/>
    </row>
    <row r="185">
      <c r="A185" s="8" t="n"/>
      <c r="B185" s="8" t="n"/>
      <c r="C185" s="8" t="n"/>
      <c r="D185" s="9" t="n"/>
      <c r="E185" s="10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11" t="n"/>
      <c r="R185" s="12" t="n"/>
      <c r="S185" s="5">
        <f>IF(R185="","",1+(3-R185)*0.10)</f>
        <v/>
      </c>
      <c r="T185" s="13">
        <f>IFERROR(H185/F185*90,0)</f>
        <v/>
      </c>
      <c r="U185" s="13">
        <f>IFERROR(I185/F185*90,0)</f>
        <v/>
      </c>
      <c r="V185" s="13">
        <f>T185+U185</f>
        <v/>
      </c>
      <c r="W185" s="13">
        <f>IFERROR((H185*5+I185*3+J185*0+K185*0)/F185,0)</f>
        <v/>
      </c>
      <c r="X185" s="13">
        <f>IFERROR((2*(P185/90))+(T185/90*5)+(U185/90*3)+(O185/F185*2)+(W185*0.5),0)</f>
        <v/>
      </c>
      <c r="Y185" s="13">
        <f>IF(X185="","",X185*S185*(P185/90))</f>
        <v/>
      </c>
      <c r="Z185" s="14">
        <f>IFERROR(Y185/D185,0)</f>
        <v/>
      </c>
      <c r="AA185" s="15">
        <f>IF(P185="","",MAX(0,1-P185/90))</f>
        <v/>
      </c>
      <c r="AB185" s="13">
        <f>IFERROR(Y185*(1+0.20*W185+0.15*Z185)*(1-AA185*0.75),0)</f>
        <v/>
      </c>
      <c r="AC185" s="13">
        <f>IFERROR((T185+U185)*S185*(P185/90)*(1+0.25*(3-R185)),0)</f>
        <v/>
      </c>
      <c r="AD185" s="8" t="n"/>
    </row>
    <row r="186">
      <c r="A186" s="8" t="n"/>
      <c r="B186" s="8" t="n"/>
      <c r="C186" s="8" t="n"/>
      <c r="D186" s="9" t="n"/>
      <c r="E186" s="10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11" t="n"/>
      <c r="R186" s="12" t="n"/>
      <c r="S186" s="5">
        <f>IF(R186="","",1+(3-R186)*0.10)</f>
        <v/>
      </c>
      <c r="T186" s="13">
        <f>IFERROR(H186/F186*90,0)</f>
        <v/>
      </c>
      <c r="U186" s="13">
        <f>IFERROR(I186/F186*90,0)</f>
        <v/>
      </c>
      <c r="V186" s="13">
        <f>T186+U186</f>
        <v/>
      </c>
      <c r="W186" s="13">
        <f>IFERROR((H186*5+I186*3+J186*0+K186*0)/F186,0)</f>
        <v/>
      </c>
      <c r="X186" s="13">
        <f>IFERROR((2*(P186/90))+(T186/90*5)+(U186/90*3)+(O186/F186*2)+(W186*0.5),0)</f>
        <v/>
      </c>
      <c r="Y186" s="13">
        <f>IF(X186="","",X186*S186*(P186/90))</f>
        <v/>
      </c>
      <c r="Z186" s="14">
        <f>IFERROR(Y186/D186,0)</f>
        <v/>
      </c>
      <c r="AA186" s="15">
        <f>IF(P186="","",MAX(0,1-P186/90))</f>
        <v/>
      </c>
      <c r="AB186" s="13">
        <f>IFERROR(Y186*(1+0.20*W186+0.15*Z186)*(1-AA186*0.75),0)</f>
        <v/>
      </c>
      <c r="AC186" s="13">
        <f>IFERROR((T186+U186)*S186*(P186/90)*(1+0.25*(3-R186)),0)</f>
        <v/>
      </c>
      <c r="AD186" s="8" t="n"/>
    </row>
    <row r="187">
      <c r="A187" s="8" t="n"/>
      <c r="B187" s="8" t="n"/>
      <c r="C187" s="8" t="n"/>
      <c r="D187" s="9" t="n"/>
      <c r="E187" s="10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11" t="n"/>
      <c r="R187" s="12" t="n"/>
      <c r="S187" s="5">
        <f>IF(R187="","",1+(3-R187)*0.10)</f>
        <v/>
      </c>
      <c r="T187" s="13">
        <f>IFERROR(H187/F187*90,0)</f>
        <v/>
      </c>
      <c r="U187" s="13">
        <f>IFERROR(I187/F187*90,0)</f>
        <v/>
      </c>
      <c r="V187" s="13">
        <f>T187+U187</f>
        <v/>
      </c>
      <c r="W187" s="13">
        <f>IFERROR((H187*5+I187*3+J187*0+K187*0)/F187,0)</f>
        <v/>
      </c>
      <c r="X187" s="13">
        <f>IFERROR((2*(P187/90))+(T187/90*5)+(U187/90*3)+(O187/F187*2)+(W187*0.5),0)</f>
        <v/>
      </c>
      <c r="Y187" s="13">
        <f>IF(X187="","",X187*S187*(P187/90))</f>
        <v/>
      </c>
      <c r="Z187" s="14">
        <f>IFERROR(Y187/D187,0)</f>
        <v/>
      </c>
      <c r="AA187" s="15">
        <f>IF(P187="","",MAX(0,1-P187/90))</f>
        <v/>
      </c>
      <c r="AB187" s="13">
        <f>IFERROR(Y187*(1+0.20*W187+0.15*Z187)*(1-AA187*0.75),0)</f>
        <v/>
      </c>
      <c r="AC187" s="13">
        <f>IFERROR((T187+U187)*S187*(P187/90)*(1+0.25*(3-R187)),0)</f>
        <v/>
      </c>
      <c r="AD187" s="8" t="n"/>
    </row>
    <row r="188">
      <c r="A188" s="8" t="n"/>
      <c r="B188" s="8" t="n"/>
      <c r="C188" s="8" t="n"/>
      <c r="D188" s="9" t="n"/>
      <c r="E188" s="10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11" t="n"/>
      <c r="R188" s="12" t="n"/>
      <c r="S188" s="5">
        <f>IF(R188="","",1+(3-R188)*0.10)</f>
        <v/>
      </c>
      <c r="T188" s="13">
        <f>IFERROR(H188/F188*90,0)</f>
        <v/>
      </c>
      <c r="U188" s="13">
        <f>IFERROR(I188/F188*90,0)</f>
        <v/>
      </c>
      <c r="V188" s="13">
        <f>T188+U188</f>
        <v/>
      </c>
      <c r="W188" s="13">
        <f>IFERROR((H188*5+I188*3+J188*0+K188*0)/F188,0)</f>
        <v/>
      </c>
      <c r="X188" s="13">
        <f>IFERROR((2*(P188/90))+(T188/90*5)+(U188/90*3)+(O188/F188*2)+(W188*0.5),0)</f>
        <v/>
      </c>
      <c r="Y188" s="13">
        <f>IF(X188="","",X188*S188*(P188/90))</f>
        <v/>
      </c>
      <c r="Z188" s="14">
        <f>IFERROR(Y188/D188,0)</f>
        <v/>
      </c>
      <c r="AA188" s="15">
        <f>IF(P188="","",MAX(0,1-P188/90))</f>
        <v/>
      </c>
      <c r="AB188" s="13">
        <f>IFERROR(Y188*(1+0.20*W188+0.15*Z188)*(1-AA188*0.75),0)</f>
        <v/>
      </c>
      <c r="AC188" s="13">
        <f>IFERROR((T188+U188)*S188*(P188/90)*(1+0.25*(3-R188)),0)</f>
        <v/>
      </c>
      <c r="AD188" s="8" t="n"/>
    </row>
    <row r="189">
      <c r="A189" s="8" t="n"/>
      <c r="B189" s="8" t="n"/>
      <c r="C189" s="8" t="n"/>
      <c r="D189" s="9" t="n"/>
      <c r="E189" s="10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11" t="n"/>
      <c r="R189" s="12" t="n"/>
      <c r="S189" s="5">
        <f>IF(R189="","",1+(3-R189)*0.10)</f>
        <v/>
      </c>
      <c r="T189" s="13">
        <f>IFERROR(H189/F189*90,0)</f>
        <v/>
      </c>
      <c r="U189" s="13">
        <f>IFERROR(I189/F189*90,0)</f>
        <v/>
      </c>
      <c r="V189" s="13">
        <f>T189+U189</f>
        <v/>
      </c>
      <c r="W189" s="13">
        <f>IFERROR((H189*5+I189*3+J189*0+K189*0)/F189,0)</f>
        <v/>
      </c>
      <c r="X189" s="13">
        <f>IFERROR((2*(P189/90))+(T189/90*5)+(U189/90*3)+(O189/F189*2)+(W189*0.5),0)</f>
        <v/>
      </c>
      <c r="Y189" s="13">
        <f>IF(X189="","",X189*S189*(P189/90))</f>
        <v/>
      </c>
      <c r="Z189" s="14">
        <f>IFERROR(Y189/D189,0)</f>
        <v/>
      </c>
      <c r="AA189" s="15">
        <f>IF(P189="","",MAX(0,1-P189/90))</f>
        <v/>
      </c>
      <c r="AB189" s="13">
        <f>IFERROR(Y189*(1+0.20*W189+0.15*Z189)*(1-AA189*0.75),0)</f>
        <v/>
      </c>
      <c r="AC189" s="13">
        <f>IFERROR((T189+U189)*S189*(P189/90)*(1+0.25*(3-R189)),0)</f>
        <v/>
      </c>
      <c r="AD189" s="8" t="n"/>
    </row>
    <row r="190">
      <c r="A190" s="8" t="n"/>
      <c r="B190" s="8" t="n"/>
      <c r="C190" s="8" t="n"/>
      <c r="D190" s="9" t="n"/>
      <c r="E190" s="10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11" t="n"/>
      <c r="R190" s="12" t="n"/>
      <c r="S190" s="5">
        <f>IF(R190="","",1+(3-R190)*0.10)</f>
        <v/>
      </c>
      <c r="T190" s="13">
        <f>IFERROR(H190/F190*90,0)</f>
        <v/>
      </c>
      <c r="U190" s="13">
        <f>IFERROR(I190/F190*90,0)</f>
        <v/>
      </c>
      <c r="V190" s="13">
        <f>T190+U190</f>
        <v/>
      </c>
      <c r="W190" s="13">
        <f>IFERROR((H190*5+I190*3+J190*0+K190*0)/F190,0)</f>
        <v/>
      </c>
      <c r="X190" s="13">
        <f>IFERROR((2*(P190/90))+(T190/90*5)+(U190/90*3)+(O190/F190*2)+(W190*0.5),0)</f>
        <v/>
      </c>
      <c r="Y190" s="13">
        <f>IF(X190="","",X190*S190*(P190/90))</f>
        <v/>
      </c>
      <c r="Z190" s="14">
        <f>IFERROR(Y190/D190,0)</f>
        <v/>
      </c>
      <c r="AA190" s="15">
        <f>IF(P190="","",MAX(0,1-P190/90))</f>
        <v/>
      </c>
      <c r="AB190" s="13">
        <f>IFERROR(Y190*(1+0.20*W190+0.15*Z190)*(1-AA190*0.75),0)</f>
        <v/>
      </c>
      <c r="AC190" s="13">
        <f>IFERROR((T190+U190)*S190*(P190/90)*(1+0.25*(3-R190)),0)</f>
        <v/>
      </c>
      <c r="AD190" s="8" t="n"/>
    </row>
    <row r="191">
      <c r="A191" s="8" t="n"/>
      <c r="B191" s="8" t="n"/>
      <c r="C191" s="8" t="n"/>
      <c r="D191" s="9" t="n"/>
      <c r="E191" s="10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11" t="n"/>
      <c r="R191" s="12" t="n"/>
      <c r="S191" s="5">
        <f>IF(R191="","",1+(3-R191)*0.10)</f>
        <v/>
      </c>
      <c r="T191" s="13">
        <f>IFERROR(H191/F191*90,0)</f>
        <v/>
      </c>
      <c r="U191" s="13">
        <f>IFERROR(I191/F191*90,0)</f>
        <v/>
      </c>
      <c r="V191" s="13">
        <f>T191+U191</f>
        <v/>
      </c>
      <c r="W191" s="13">
        <f>IFERROR((H191*5+I191*3+J191*0+K191*0)/F191,0)</f>
        <v/>
      </c>
      <c r="X191" s="13">
        <f>IFERROR((2*(P191/90))+(T191/90*5)+(U191/90*3)+(O191/F191*2)+(W191*0.5),0)</f>
        <v/>
      </c>
      <c r="Y191" s="13">
        <f>IF(X191="","",X191*S191*(P191/90))</f>
        <v/>
      </c>
      <c r="Z191" s="14">
        <f>IFERROR(Y191/D191,0)</f>
        <v/>
      </c>
      <c r="AA191" s="15">
        <f>IF(P191="","",MAX(0,1-P191/90))</f>
        <v/>
      </c>
      <c r="AB191" s="13">
        <f>IFERROR(Y191*(1+0.20*W191+0.15*Z191)*(1-AA191*0.75),0)</f>
        <v/>
      </c>
      <c r="AC191" s="13">
        <f>IFERROR((T191+U191)*S191*(P191/90)*(1+0.25*(3-R191)),0)</f>
        <v/>
      </c>
      <c r="AD191" s="8" t="n"/>
    </row>
    <row r="192">
      <c r="A192" s="8" t="n"/>
      <c r="B192" s="8" t="n"/>
      <c r="C192" s="8" t="n"/>
      <c r="D192" s="9" t="n"/>
      <c r="E192" s="10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11" t="n"/>
      <c r="R192" s="12" t="n"/>
      <c r="S192" s="5">
        <f>IF(R192="","",1+(3-R192)*0.10)</f>
        <v/>
      </c>
      <c r="T192" s="13">
        <f>IFERROR(H192/F192*90,0)</f>
        <v/>
      </c>
      <c r="U192" s="13">
        <f>IFERROR(I192/F192*90,0)</f>
        <v/>
      </c>
      <c r="V192" s="13">
        <f>T192+U192</f>
        <v/>
      </c>
      <c r="W192" s="13">
        <f>IFERROR((H192*5+I192*3+J192*0+K192*0)/F192,0)</f>
        <v/>
      </c>
      <c r="X192" s="13">
        <f>IFERROR((2*(P192/90))+(T192/90*5)+(U192/90*3)+(O192/F192*2)+(W192*0.5),0)</f>
        <v/>
      </c>
      <c r="Y192" s="13">
        <f>IF(X192="","",X192*S192*(P192/90))</f>
        <v/>
      </c>
      <c r="Z192" s="14">
        <f>IFERROR(Y192/D192,0)</f>
        <v/>
      </c>
      <c r="AA192" s="15">
        <f>IF(P192="","",MAX(0,1-P192/90))</f>
        <v/>
      </c>
      <c r="AB192" s="13">
        <f>IFERROR(Y192*(1+0.20*W192+0.15*Z192)*(1-AA192*0.75),0)</f>
        <v/>
      </c>
      <c r="AC192" s="13">
        <f>IFERROR((T192+U192)*S192*(P192/90)*(1+0.25*(3-R192)),0)</f>
        <v/>
      </c>
      <c r="AD192" s="8" t="n"/>
    </row>
    <row r="193">
      <c r="A193" s="8" t="n"/>
      <c r="B193" s="8" t="n"/>
      <c r="C193" s="8" t="n"/>
      <c r="D193" s="9" t="n"/>
      <c r="E193" s="10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11" t="n"/>
      <c r="R193" s="12" t="n"/>
      <c r="S193" s="5">
        <f>IF(R193="","",1+(3-R193)*0.10)</f>
        <v/>
      </c>
      <c r="T193" s="13">
        <f>IFERROR(H193/F193*90,0)</f>
        <v/>
      </c>
      <c r="U193" s="13">
        <f>IFERROR(I193/F193*90,0)</f>
        <v/>
      </c>
      <c r="V193" s="13">
        <f>T193+U193</f>
        <v/>
      </c>
      <c r="W193" s="13">
        <f>IFERROR((H193*5+I193*3+J193*0+K193*0)/F193,0)</f>
        <v/>
      </c>
      <c r="X193" s="13">
        <f>IFERROR((2*(P193/90))+(T193/90*5)+(U193/90*3)+(O193/F193*2)+(W193*0.5),0)</f>
        <v/>
      </c>
      <c r="Y193" s="13">
        <f>IF(X193="","",X193*S193*(P193/90))</f>
        <v/>
      </c>
      <c r="Z193" s="14">
        <f>IFERROR(Y193/D193,0)</f>
        <v/>
      </c>
      <c r="AA193" s="15">
        <f>IF(P193="","",MAX(0,1-P193/90))</f>
        <v/>
      </c>
      <c r="AB193" s="13">
        <f>IFERROR(Y193*(1+0.20*W193+0.15*Z193)*(1-AA193*0.75),0)</f>
        <v/>
      </c>
      <c r="AC193" s="13">
        <f>IFERROR((T193+U193)*S193*(P193/90)*(1+0.25*(3-R193)),0)</f>
        <v/>
      </c>
      <c r="AD193" s="8" t="n"/>
    </row>
    <row r="194">
      <c r="A194" s="8" t="n"/>
      <c r="B194" s="8" t="n"/>
      <c r="C194" s="8" t="n"/>
      <c r="D194" s="9" t="n"/>
      <c r="E194" s="10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11" t="n"/>
      <c r="R194" s="12" t="n"/>
      <c r="S194" s="5">
        <f>IF(R194="","",1+(3-R194)*0.10)</f>
        <v/>
      </c>
      <c r="T194" s="13">
        <f>IFERROR(H194/F194*90,0)</f>
        <v/>
      </c>
      <c r="U194" s="13">
        <f>IFERROR(I194/F194*90,0)</f>
        <v/>
      </c>
      <c r="V194" s="13">
        <f>T194+U194</f>
        <v/>
      </c>
      <c r="W194" s="13">
        <f>IFERROR((H194*5+I194*3+J194*0+K194*0)/F194,0)</f>
        <v/>
      </c>
      <c r="X194" s="13">
        <f>IFERROR((2*(P194/90))+(T194/90*5)+(U194/90*3)+(O194/F194*2)+(W194*0.5),0)</f>
        <v/>
      </c>
      <c r="Y194" s="13">
        <f>IF(X194="","",X194*S194*(P194/90))</f>
        <v/>
      </c>
      <c r="Z194" s="14">
        <f>IFERROR(Y194/D194,0)</f>
        <v/>
      </c>
      <c r="AA194" s="15">
        <f>IF(P194="","",MAX(0,1-P194/90))</f>
        <v/>
      </c>
      <c r="AB194" s="13">
        <f>IFERROR(Y194*(1+0.20*W194+0.15*Z194)*(1-AA194*0.75),0)</f>
        <v/>
      </c>
      <c r="AC194" s="13">
        <f>IFERROR((T194+U194)*S194*(P194/90)*(1+0.25*(3-R194)),0)</f>
        <v/>
      </c>
      <c r="AD194" s="8" t="n"/>
    </row>
    <row r="195">
      <c r="A195" s="8" t="n"/>
      <c r="B195" s="8" t="n"/>
      <c r="C195" s="8" t="n"/>
      <c r="D195" s="9" t="n"/>
      <c r="E195" s="10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11" t="n"/>
      <c r="R195" s="12" t="n"/>
      <c r="S195" s="5">
        <f>IF(R195="","",1+(3-R195)*0.10)</f>
        <v/>
      </c>
      <c r="T195" s="13">
        <f>IFERROR(H195/F195*90,0)</f>
        <v/>
      </c>
      <c r="U195" s="13">
        <f>IFERROR(I195/F195*90,0)</f>
        <v/>
      </c>
      <c r="V195" s="13">
        <f>T195+U195</f>
        <v/>
      </c>
      <c r="W195" s="13">
        <f>IFERROR((H195*5+I195*3+J195*0+K195*0)/F195,0)</f>
        <v/>
      </c>
      <c r="X195" s="13">
        <f>IFERROR((2*(P195/90))+(T195/90*5)+(U195/90*3)+(O195/F195*2)+(W195*0.5),0)</f>
        <v/>
      </c>
      <c r="Y195" s="13">
        <f>IF(X195="","",X195*S195*(P195/90))</f>
        <v/>
      </c>
      <c r="Z195" s="14">
        <f>IFERROR(Y195/D195,0)</f>
        <v/>
      </c>
      <c r="AA195" s="15">
        <f>IF(P195="","",MAX(0,1-P195/90))</f>
        <v/>
      </c>
      <c r="AB195" s="13">
        <f>IFERROR(Y195*(1+0.20*W195+0.15*Z195)*(1-AA195*0.75),0)</f>
        <v/>
      </c>
      <c r="AC195" s="13">
        <f>IFERROR((T195+U195)*S195*(P195/90)*(1+0.25*(3-R195)),0)</f>
        <v/>
      </c>
      <c r="AD195" s="8" t="n"/>
    </row>
    <row r="196">
      <c r="A196" s="8" t="n"/>
      <c r="B196" s="8" t="n"/>
      <c r="C196" s="8" t="n"/>
      <c r="D196" s="9" t="n"/>
      <c r="E196" s="10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11" t="n"/>
      <c r="R196" s="12" t="n"/>
      <c r="S196" s="5">
        <f>IF(R196="","",1+(3-R196)*0.10)</f>
        <v/>
      </c>
      <c r="T196" s="13">
        <f>IFERROR(H196/F196*90,0)</f>
        <v/>
      </c>
      <c r="U196" s="13">
        <f>IFERROR(I196/F196*90,0)</f>
        <v/>
      </c>
      <c r="V196" s="13">
        <f>T196+U196</f>
        <v/>
      </c>
      <c r="W196" s="13">
        <f>IFERROR((H196*5+I196*3+J196*0+K196*0)/F196,0)</f>
        <v/>
      </c>
      <c r="X196" s="13">
        <f>IFERROR((2*(P196/90))+(T196/90*5)+(U196/90*3)+(O196/F196*2)+(W196*0.5),0)</f>
        <v/>
      </c>
      <c r="Y196" s="13">
        <f>IF(X196="","",X196*S196*(P196/90))</f>
        <v/>
      </c>
      <c r="Z196" s="14">
        <f>IFERROR(Y196/D196,0)</f>
        <v/>
      </c>
      <c r="AA196" s="15">
        <f>IF(P196="","",MAX(0,1-P196/90))</f>
        <v/>
      </c>
      <c r="AB196" s="13">
        <f>IFERROR(Y196*(1+0.20*W196+0.15*Z196)*(1-AA196*0.75),0)</f>
        <v/>
      </c>
      <c r="AC196" s="13">
        <f>IFERROR((T196+U196)*S196*(P196/90)*(1+0.25*(3-R196)),0)</f>
        <v/>
      </c>
      <c r="AD196" s="8" t="n"/>
    </row>
    <row r="197">
      <c r="A197" s="8" t="n"/>
      <c r="B197" s="8" t="n"/>
      <c r="C197" s="8" t="n"/>
      <c r="D197" s="9" t="n"/>
      <c r="E197" s="10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11" t="n"/>
      <c r="R197" s="12" t="n"/>
      <c r="S197" s="5">
        <f>IF(R197="","",1+(3-R197)*0.10)</f>
        <v/>
      </c>
      <c r="T197" s="13">
        <f>IFERROR(H197/F197*90,0)</f>
        <v/>
      </c>
      <c r="U197" s="13">
        <f>IFERROR(I197/F197*90,0)</f>
        <v/>
      </c>
      <c r="V197" s="13">
        <f>T197+U197</f>
        <v/>
      </c>
      <c r="W197" s="13">
        <f>IFERROR((H197*5+I197*3+J197*0+K197*0)/F197,0)</f>
        <v/>
      </c>
      <c r="X197" s="13">
        <f>IFERROR((2*(P197/90))+(T197/90*5)+(U197/90*3)+(O197/F197*2)+(W197*0.5),0)</f>
        <v/>
      </c>
      <c r="Y197" s="13">
        <f>IF(X197="","",X197*S197*(P197/90))</f>
        <v/>
      </c>
      <c r="Z197" s="14">
        <f>IFERROR(Y197/D197,0)</f>
        <v/>
      </c>
      <c r="AA197" s="15">
        <f>IF(P197="","",MAX(0,1-P197/90))</f>
        <v/>
      </c>
      <c r="AB197" s="13">
        <f>IFERROR(Y197*(1+0.20*W197+0.15*Z197)*(1-AA197*0.75),0)</f>
        <v/>
      </c>
      <c r="AC197" s="13">
        <f>IFERROR((T197+U197)*S197*(P197/90)*(1+0.25*(3-R197)),0)</f>
        <v/>
      </c>
      <c r="AD197" s="8" t="n"/>
    </row>
    <row r="198">
      <c r="A198" s="8" t="n"/>
      <c r="B198" s="8" t="n"/>
      <c r="C198" s="8" t="n"/>
      <c r="D198" s="9" t="n"/>
      <c r="E198" s="10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11" t="n"/>
      <c r="R198" s="12" t="n"/>
      <c r="S198" s="5">
        <f>IF(R198="","",1+(3-R198)*0.10)</f>
        <v/>
      </c>
      <c r="T198" s="13">
        <f>IFERROR(H198/F198*90,0)</f>
        <v/>
      </c>
      <c r="U198" s="13">
        <f>IFERROR(I198/F198*90,0)</f>
        <v/>
      </c>
      <c r="V198" s="13">
        <f>T198+U198</f>
        <v/>
      </c>
      <c r="W198" s="13">
        <f>IFERROR((H198*5+I198*3+J198*0+K198*0)/F198,0)</f>
        <v/>
      </c>
      <c r="X198" s="13">
        <f>IFERROR((2*(P198/90))+(T198/90*5)+(U198/90*3)+(O198/F198*2)+(W198*0.5),0)</f>
        <v/>
      </c>
      <c r="Y198" s="13">
        <f>IF(X198="","",X198*S198*(P198/90))</f>
        <v/>
      </c>
      <c r="Z198" s="14">
        <f>IFERROR(Y198/D198,0)</f>
        <v/>
      </c>
      <c r="AA198" s="15">
        <f>IF(P198="","",MAX(0,1-P198/90))</f>
        <v/>
      </c>
      <c r="AB198" s="13">
        <f>IFERROR(Y198*(1+0.20*W198+0.15*Z198)*(1-AA198*0.75),0)</f>
        <v/>
      </c>
      <c r="AC198" s="13">
        <f>IFERROR((T198+U198)*S198*(P198/90)*(1+0.25*(3-R198)),0)</f>
        <v/>
      </c>
      <c r="AD198" s="8" t="n"/>
    </row>
    <row r="199">
      <c r="A199" s="8" t="n"/>
      <c r="B199" s="8" t="n"/>
      <c r="C199" s="8" t="n"/>
      <c r="D199" s="9" t="n"/>
      <c r="E199" s="10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11" t="n"/>
      <c r="R199" s="12" t="n"/>
      <c r="S199" s="5">
        <f>IF(R199="","",1+(3-R199)*0.10)</f>
        <v/>
      </c>
      <c r="T199" s="13">
        <f>IFERROR(H199/F199*90,0)</f>
        <v/>
      </c>
      <c r="U199" s="13">
        <f>IFERROR(I199/F199*90,0)</f>
        <v/>
      </c>
      <c r="V199" s="13">
        <f>T199+U199</f>
        <v/>
      </c>
      <c r="W199" s="13">
        <f>IFERROR((H199*5+I199*3+J199*0+K199*0)/F199,0)</f>
        <v/>
      </c>
      <c r="X199" s="13">
        <f>IFERROR((2*(P199/90))+(T199/90*5)+(U199/90*3)+(O199/F199*2)+(W199*0.5),0)</f>
        <v/>
      </c>
      <c r="Y199" s="13">
        <f>IF(X199="","",X199*S199*(P199/90))</f>
        <v/>
      </c>
      <c r="Z199" s="14">
        <f>IFERROR(Y199/D199,0)</f>
        <v/>
      </c>
      <c r="AA199" s="15">
        <f>IF(P199="","",MAX(0,1-P199/90))</f>
        <v/>
      </c>
      <c r="AB199" s="13">
        <f>IFERROR(Y199*(1+0.20*W199+0.15*Z199)*(1-AA199*0.75),0)</f>
        <v/>
      </c>
      <c r="AC199" s="13">
        <f>IFERROR((T199+U199)*S199*(P199/90)*(1+0.25*(3-R199)),0)</f>
        <v/>
      </c>
      <c r="AD199" s="8" t="n"/>
    </row>
    <row r="200">
      <c r="A200" s="8" t="n"/>
      <c r="B200" s="8" t="n"/>
      <c r="C200" s="8" t="n"/>
      <c r="D200" s="9" t="n"/>
      <c r="E200" s="10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11" t="n"/>
      <c r="R200" s="12" t="n"/>
      <c r="S200" s="5">
        <f>IF(R200="","",1+(3-R200)*0.10)</f>
        <v/>
      </c>
      <c r="T200" s="13">
        <f>IFERROR(H200/F200*90,0)</f>
        <v/>
      </c>
      <c r="U200" s="13">
        <f>IFERROR(I200/F200*90,0)</f>
        <v/>
      </c>
      <c r="V200" s="13">
        <f>T200+U200</f>
        <v/>
      </c>
      <c r="W200" s="13">
        <f>IFERROR((H200*5+I200*3+J200*0+K200*0)/F200,0)</f>
        <v/>
      </c>
      <c r="X200" s="13">
        <f>IFERROR((2*(P200/90))+(T200/90*5)+(U200/90*3)+(O200/F200*2)+(W200*0.5),0)</f>
        <v/>
      </c>
      <c r="Y200" s="13">
        <f>IF(X200="","",X200*S200*(P200/90))</f>
        <v/>
      </c>
      <c r="Z200" s="14">
        <f>IFERROR(Y200/D200,0)</f>
        <v/>
      </c>
      <c r="AA200" s="15">
        <f>IF(P200="","",MAX(0,1-P200/90))</f>
        <v/>
      </c>
      <c r="AB200" s="13">
        <f>IFERROR(Y200*(1+0.20*W200+0.15*Z200)*(1-AA200*0.75),0)</f>
        <v/>
      </c>
      <c r="AC200" s="13">
        <f>IFERROR((T200+U200)*S200*(P200/90)*(1+0.25*(3-R200)),0)</f>
        <v/>
      </c>
      <c r="AD200" s="8" t="n"/>
    </row>
    <row r="201">
      <c r="A201" s="8" t="n"/>
      <c r="B201" s="8" t="n"/>
      <c r="C201" s="8" t="n"/>
      <c r="D201" s="9" t="n"/>
      <c r="E201" s="10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11" t="n"/>
      <c r="R201" s="12" t="n"/>
      <c r="S201" s="5">
        <f>IF(R201="","",1+(3-R201)*0.10)</f>
        <v/>
      </c>
      <c r="T201" s="13">
        <f>IFERROR(H201/F201*90,0)</f>
        <v/>
      </c>
      <c r="U201" s="13">
        <f>IFERROR(I201/F201*90,0)</f>
        <v/>
      </c>
      <c r="V201" s="13">
        <f>T201+U201</f>
        <v/>
      </c>
      <c r="W201" s="13">
        <f>IFERROR((H201*5+I201*3+J201*0+K201*0)/F201,0)</f>
        <v/>
      </c>
      <c r="X201" s="13">
        <f>IFERROR((2*(P201/90))+(T201/90*5)+(U201/90*3)+(O201/F201*2)+(W201*0.5),0)</f>
        <v/>
      </c>
      <c r="Y201" s="13">
        <f>IF(X201="","",X201*S201*(P201/90))</f>
        <v/>
      </c>
      <c r="Z201" s="14">
        <f>IFERROR(Y201/D201,0)</f>
        <v/>
      </c>
      <c r="AA201" s="15">
        <f>IF(P201="","",MAX(0,1-P201/90))</f>
        <v/>
      </c>
      <c r="AB201" s="13">
        <f>IFERROR(Y201*(1+0.20*W201+0.15*Z201)*(1-AA201*0.75),0)</f>
        <v/>
      </c>
      <c r="AC201" s="13">
        <f>IFERROR((T201+U201)*S201*(P201/90)*(1+0.25*(3-R201)),0)</f>
        <v/>
      </c>
      <c r="AD201" s="8" t="n"/>
    </row>
  </sheetData>
  <autoFilter ref="A1:AD201"/>
  <conditionalFormatting sqref="AB2:AB2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01">
    <cfRule type="colorScale" priority="2">
      <colorScale>
        <cfvo type="min"/>
        <cfvo type="max"/>
        <color rgb="0063BE7B"/>
        <color rgb="00F8696B"/>
      </colorScale>
    </cfRule>
  </conditionalFormatting>
  <dataValidations count="1">
    <dataValidation sqref="C2:C201" showDropDown="0" showInputMessage="0" showErrorMessage="0" allowBlank="1" type="list">
      <formula1>"GK,DEF,MID,FWD"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9" customWidth="1" min="9" max="9"/>
    <col width="42" customWidth="1" min="10" max="10"/>
    <col width="42" customWidth="1" min="11" max="11"/>
    <col width="42" customWidth="1" min="12" max="12"/>
    <col width="13" customWidth="1" min="13" max="13"/>
    <col width="15" customWidth="1" min="14" max="14"/>
    <col width="27" customWidth="1" min="15" max="15"/>
    <col width="13" customWidth="1" min="16" max="16"/>
  </cols>
  <sheetData>
    <row r="1">
      <c r="A1" s="6" t="inlineStr">
        <is>
          <t>GW</t>
        </is>
      </c>
      <c r="B1" s="6" t="inlineStr">
        <is>
          <t>Player</t>
        </is>
      </c>
      <c r="C1" s="6" t="inlineStr">
        <is>
          <t>Club</t>
        </is>
      </c>
      <c r="D1" s="6" t="inlineStr">
        <is>
          <t>Pos</t>
        </is>
      </c>
      <c r="E1" s="6" t="inlineStr">
        <is>
          <t>Price £m</t>
        </is>
      </c>
      <c r="F1" s="6" t="inlineStr">
        <is>
          <t>Starter?</t>
        </is>
      </c>
      <c r="G1" s="6" t="inlineStr">
        <is>
          <t>Captain?</t>
        </is>
      </c>
      <c r="H1" s="6" t="inlineStr">
        <is>
          <t>Fixture difficulty</t>
        </is>
      </c>
      <c r="I1" s="6" t="inlineStr">
        <is>
          <t>Projected minutes</t>
        </is>
      </c>
      <c r="J1" s="6" t="inlineStr">
        <is>
          <t>xP</t>
        </is>
      </c>
      <c r="K1" s="6" t="inlineStr">
        <is>
          <t>Fixture-adjusted xP</t>
        </is>
      </c>
      <c r="L1" s="6" t="inlineStr">
        <is>
          <t>Expected points contribution</t>
        </is>
      </c>
      <c r="M1" s="6" t="inlineStr">
        <is>
          <t>Bench order</t>
        </is>
      </c>
      <c r="N1" s="6" t="inlineStr">
        <is>
          <t>Actual points</t>
        </is>
      </c>
      <c r="O1" s="6" t="inlineStr">
        <is>
          <t>Variance</t>
        </is>
      </c>
      <c r="P1" s="6" t="inlineStr">
        <is>
          <t>Review note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5">
        <f>IFERROR(XLOOKUP(B2,'PLAYER POOL'!A:A,'PLAYER POOL'!X:X),"")</f>
        <v/>
      </c>
      <c r="K2" s="5">
        <f>IFERROR(XLOOKUP(B2,'PLAYER POOL'!A:A,'PLAYER POOL'!Y:Y),"")</f>
        <v/>
      </c>
      <c r="L2" s="5">
        <f>IF(F2="Yes",K2*IF(G2="Yes",2,1),0)</f>
        <v/>
      </c>
      <c r="M2" s="8" t="n"/>
      <c r="N2" s="8" t="n"/>
      <c r="O2" s="5">
        <f>IF(N2="","",N2-L2)</f>
        <v/>
      </c>
      <c r="P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5">
        <f>IFERROR(XLOOKUP(B3,'PLAYER POOL'!A:A,'PLAYER POOL'!X:X),"")</f>
        <v/>
      </c>
      <c r="K3" s="5">
        <f>IFERROR(XLOOKUP(B3,'PLAYER POOL'!A:A,'PLAYER POOL'!Y:Y),"")</f>
        <v/>
      </c>
      <c r="L3" s="5">
        <f>IF(F3="Yes",K3*IF(G3="Yes",2,1),0)</f>
        <v/>
      </c>
      <c r="M3" s="8" t="n"/>
      <c r="N3" s="8" t="n"/>
      <c r="O3" s="5">
        <f>IF(N3="","",N3-L3)</f>
        <v/>
      </c>
      <c r="P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5">
        <f>IFERROR(XLOOKUP(B4,'PLAYER POOL'!A:A,'PLAYER POOL'!X:X),"")</f>
        <v/>
      </c>
      <c r="K4" s="5">
        <f>IFERROR(XLOOKUP(B4,'PLAYER POOL'!A:A,'PLAYER POOL'!Y:Y),"")</f>
        <v/>
      </c>
      <c r="L4" s="5">
        <f>IF(F4="Yes",K4*IF(G4="Yes",2,1),0)</f>
        <v/>
      </c>
      <c r="M4" s="8" t="n"/>
      <c r="N4" s="8" t="n"/>
      <c r="O4" s="5">
        <f>IF(N4="","",N4-L4)</f>
        <v/>
      </c>
      <c r="P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5">
        <f>IFERROR(XLOOKUP(B5,'PLAYER POOL'!A:A,'PLAYER POOL'!X:X),"")</f>
        <v/>
      </c>
      <c r="K5" s="5">
        <f>IFERROR(XLOOKUP(B5,'PLAYER POOL'!A:A,'PLAYER POOL'!Y:Y),"")</f>
        <v/>
      </c>
      <c r="L5" s="5">
        <f>IF(F5="Yes",K5*IF(G5="Yes",2,1),0)</f>
        <v/>
      </c>
      <c r="M5" s="8" t="n"/>
      <c r="N5" s="8" t="n"/>
      <c r="O5" s="5">
        <f>IF(N5="","",N5-L5)</f>
        <v/>
      </c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5">
        <f>IFERROR(XLOOKUP(B6,'PLAYER POOL'!A:A,'PLAYER POOL'!X:X),"")</f>
        <v/>
      </c>
      <c r="K6" s="5">
        <f>IFERROR(XLOOKUP(B6,'PLAYER POOL'!A:A,'PLAYER POOL'!Y:Y),"")</f>
        <v/>
      </c>
      <c r="L6" s="5">
        <f>IF(F6="Yes",K6*IF(G6="Yes",2,1),0)</f>
        <v/>
      </c>
      <c r="M6" s="8" t="n"/>
      <c r="N6" s="8" t="n"/>
      <c r="O6" s="5">
        <f>IF(N6="","",N6-L6)</f>
        <v/>
      </c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5">
        <f>IFERROR(XLOOKUP(B7,'PLAYER POOL'!A:A,'PLAYER POOL'!X:X),"")</f>
        <v/>
      </c>
      <c r="K7" s="5">
        <f>IFERROR(XLOOKUP(B7,'PLAYER POOL'!A:A,'PLAYER POOL'!Y:Y),"")</f>
        <v/>
      </c>
      <c r="L7" s="5">
        <f>IF(F7="Yes",K7*IF(G7="Yes",2,1),0)</f>
        <v/>
      </c>
      <c r="M7" s="8" t="n"/>
      <c r="N7" s="8" t="n"/>
      <c r="O7" s="5">
        <f>IF(N7="","",N7-L7)</f>
        <v/>
      </c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5">
        <f>IFERROR(XLOOKUP(B8,'PLAYER POOL'!A:A,'PLAYER POOL'!X:X),"")</f>
        <v/>
      </c>
      <c r="K8" s="5">
        <f>IFERROR(XLOOKUP(B8,'PLAYER POOL'!A:A,'PLAYER POOL'!Y:Y),"")</f>
        <v/>
      </c>
      <c r="L8" s="5">
        <f>IF(F8="Yes",K8*IF(G8="Yes",2,1),0)</f>
        <v/>
      </c>
      <c r="M8" s="8" t="n"/>
      <c r="N8" s="8" t="n"/>
      <c r="O8" s="5">
        <f>IF(N8="","",N8-L8)</f>
        <v/>
      </c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5">
        <f>IFERROR(XLOOKUP(B9,'PLAYER POOL'!A:A,'PLAYER POOL'!X:X),"")</f>
        <v/>
      </c>
      <c r="K9" s="5">
        <f>IFERROR(XLOOKUP(B9,'PLAYER POOL'!A:A,'PLAYER POOL'!Y:Y),"")</f>
        <v/>
      </c>
      <c r="L9" s="5">
        <f>IF(F9="Yes",K9*IF(G9="Yes",2,1),0)</f>
        <v/>
      </c>
      <c r="M9" s="8" t="n"/>
      <c r="N9" s="8" t="n"/>
      <c r="O9" s="5">
        <f>IF(N9="","",N9-L9)</f>
        <v/>
      </c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5">
        <f>IFERROR(XLOOKUP(B10,'PLAYER POOL'!A:A,'PLAYER POOL'!X:X),"")</f>
        <v/>
      </c>
      <c r="K10" s="5">
        <f>IFERROR(XLOOKUP(B10,'PLAYER POOL'!A:A,'PLAYER POOL'!Y:Y),"")</f>
        <v/>
      </c>
      <c r="L10" s="5">
        <f>IF(F10="Yes",K10*IF(G10="Yes",2,1),0)</f>
        <v/>
      </c>
      <c r="M10" s="8" t="n"/>
      <c r="N10" s="8" t="n"/>
      <c r="O10" s="5">
        <f>IF(N10="","",N10-L10)</f>
        <v/>
      </c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5">
        <f>IFERROR(XLOOKUP(B11,'PLAYER POOL'!A:A,'PLAYER POOL'!X:X),"")</f>
        <v/>
      </c>
      <c r="K11" s="5">
        <f>IFERROR(XLOOKUP(B11,'PLAYER POOL'!A:A,'PLAYER POOL'!Y:Y),"")</f>
        <v/>
      </c>
      <c r="L11" s="5">
        <f>IF(F11="Yes",K11*IF(G11="Yes",2,1),0)</f>
        <v/>
      </c>
      <c r="M11" s="8" t="n"/>
      <c r="N11" s="8" t="n"/>
      <c r="O11" s="5">
        <f>IF(N11="","",N11-L11)</f>
        <v/>
      </c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5">
        <f>IFERROR(XLOOKUP(B12,'PLAYER POOL'!A:A,'PLAYER POOL'!X:X),"")</f>
        <v/>
      </c>
      <c r="K12" s="5">
        <f>IFERROR(XLOOKUP(B12,'PLAYER POOL'!A:A,'PLAYER POOL'!Y:Y),"")</f>
        <v/>
      </c>
      <c r="L12" s="5">
        <f>IF(F12="Yes",K12*IF(G12="Yes",2,1),0)</f>
        <v/>
      </c>
      <c r="M12" s="8" t="n"/>
      <c r="N12" s="8" t="n"/>
      <c r="O12" s="5">
        <f>IF(N12="","",N12-L12)</f>
        <v/>
      </c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5">
        <f>IFERROR(XLOOKUP(B13,'PLAYER POOL'!A:A,'PLAYER POOL'!X:X),"")</f>
        <v/>
      </c>
      <c r="K13" s="5">
        <f>IFERROR(XLOOKUP(B13,'PLAYER POOL'!A:A,'PLAYER POOL'!Y:Y),"")</f>
        <v/>
      </c>
      <c r="L13" s="5">
        <f>IF(F13="Yes",K13*IF(G13="Yes",2,1),0)</f>
        <v/>
      </c>
      <c r="M13" s="8" t="n"/>
      <c r="N13" s="8" t="n"/>
      <c r="O13" s="5">
        <f>IF(N13="","",N13-L13)</f>
        <v/>
      </c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5">
        <f>IFERROR(XLOOKUP(B14,'PLAYER POOL'!A:A,'PLAYER POOL'!X:X),"")</f>
        <v/>
      </c>
      <c r="K14" s="5">
        <f>IFERROR(XLOOKUP(B14,'PLAYER POOL'!A:A,'PLAYER POOL'!Y:Y),"")</f>
        <v/>
      </c>
      <c r="L14" s="5">
        <f>IF(F14="Yes",K14*IF(G14="Yes",2,1),0)</f>
        <v/>
      </c>
      <c r="M14" s="8" t="n"/>
      <c r="N14" s="8" t="n"/>
      <c r="O14" s="5">
        <f>IF(N14="","",N14-L14)</f>
        <v/>
      </c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5">
        <f>IFERROR(XLOOKUP(B15,'PLAYER POOL'!A:A,'PLAYER POOL'!X:X),"")</f>
        <v/>
      </c>
      <c r="K15" s="5">
        <f>IFERROR(XLOOKUP(B15,'PLAYER POOL'!A:A,'PLAYER POOL'!Y:Y),"")</f>
        <v/>
      </c>
      <c r="L15" s="5">
        <f>IF(F15="Yes",K15*IF(G15="Yes",2,1),0)</f>
        <v/>
      </c>
      <c r="M15" s="8" t="n"/>
      <c r="N15" s="8" t="n"/>
      <c r="O15" s="5">
        <f>IF(N15="","",N15-L15)</f>
        <v/>
      </c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5">
        <f>IFERROR(XLOOKUP(B16,'PLAYER POOL'!A:A,'PLAYER POOL'!X:X),"")</f>
        <v/>
      </c>
      <c r="K16" s="5">
        <f>IFERROR(XLOOKUP(B16,'PLAYER POOL'!A:A,'PLAYER POOL'!Y:Y),"")</f>
        <v/>
      </c>
      <c r="L16" s="5">
        <f>IF(F16="Yes",K16*IF(G16="Yes",2,1),0)</f>
        <v/>
      </c>
      <c r="M16" s="8" t="n"/>
      <c r="N16" s="8" t="n"/>
      <c r="O16" s="5">
        <f>IF(N16="","",N16-L16)</f>
        <v/>
      </c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5">
        <f>IFERROR(XLOOKUP(B17,'PLAYER POOL'!A:A,'PLAYER POOL'!X:X),"")</f>
        <v/>
      </c>
      <c r="K17" s="5">
        <f>IFERROR(XLOOKUP(B17,'PLAYER POOL'!A:A,'PLAYER POOL'!Y:Y),"")</f>
        <v/>
      </c>
      <c r="L17" s="5">
        <f>IF(F17="Yes",K17*IF(G17="Yes",2,1),0)</f>
        <v/>
      </c>
      <c r="M17" s="8" t="n"/>
      <c r="N17" s="8" t="n"/>
      <c r="O17" s="5">
        <f>IF(N17="","",N17-L17)</f>
        <v/>
      </c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5">
        <f>IFERROR(XLOOKUP(B18,'PLAYER POOL'!A:A,'PLAYER POOL'!X:X),"")</f>
        <v/>
      </c>
      <c r="K18" s="5">
        <f>IFERROR(XLOOKUP(B18,'PLAYER POOL'!A:A,'PLAYER POOL'!Y:Y),"")</f>
        <v/>
      </c>
      <c r="L18" s="5">
        <f>IF(F18="Yes",K18*IF(G18="Yes",2,1),0)</f>
        <v/>
      </c>
      <c r="M18" s="8" t="n"/>
      <c r="N18" s="8" t="n"/>
      <c r="O18" s="5">
        <f>IF(N18="","",N18-L18)</f>
        <v/>
      </c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5">
        <f>IFERROR(XLOOKUP(B19,'PLAYER POOL'!A:A,'PLAYER POOL'!X:X),"")</f>
        <v/>
      </c>
      <c r="K19" s="5">
        <f>IFERROR(XLOOKUP(B19,'PLAYER POOL'!A:A,'PLAYER POOL'!Y:Y),"")</f>
        <v/>
      </c>
      <c r="L19" s="5">
        <f>IF(F19="Yes",K19*IF(G19="Yes",2,1),0)</f>
        <v/>
      </c>
      <c r="M19" s="8" t="n"/>
      <c r="N19" s="8" t="n"/>
      <c r="O19" s="5">
        <f>IF(N19="","",N19-L19)</f>
        <v/>
      </c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5">
        <f>IFERROR(XLOOKUP(B20,'PLAYER POOL'!A:A,'PLAYER POOL'!X:X),"")</f>
        <v/>
      </c>
      <c r="K20" s="5">
        <f>IFERROR(XLOOKUP(B20,'PLAYER POOL'!A:A,'PLAYER POOL'!Y:Y),"")</f>
        <v/>
      </c>
      <c r="L20" s="5">
        <f>IF(F20="Yes",K20*IF(G20="Yes",2,1),0)</f>
        <v/>
      </c>
      <c r="M20" s="8" t="n"/>
      <c r="N20" s="8" t="n"/>
      <c r="O20" s="5">
        <f>IF(N20="","",N20-L20)</f>
        <v/>
      </c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5">
        <f>IFERROR(XLOOKUP(B21,'PLAYER POOL'!A:A,'PLAYER POOL'!X:X),"")</f>
        <v/>
      </c>
      <c r="K21" s="5">
        <f>IFERROR(XLOOKUP(B21,'PLAYER POOL'!A:A,'PLAYER POOL'!Y:Y),"")</f>
        <v/>
      </c>
      <c r="L21" s="5">
        <f>IF(F21="Yes",K21*IF(G21="Yes",2,1),0)</f>
        <v/>
      </c>
      <c r="M21" s="8" t="n"/>
      <c r="N21" s="8" t="n"/>
      <c r="O21" s="5">
        <f>IF(N21="","",N21-L21)</f>
        <v/>
      </c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5">
        <f>IFERROR(XLOOKUP(B22,'PLAYER POOL'!A:A,'PLAYER POOL'!X:X),"")</f>
        <v/>
      </c>
      <c r="K22" s="5">
        <f>IFERROR(XLOOKUP(B22,'PLAYER POOL'!A:A,'PLAYER POOL'!Y:Y),"")</f>
        <v/>
      </c>
      <c r="L22" s="5">
        <f>IF(F22="Yes",K22*IF(G22="Yes",2,1),0)</f>
        <v/>
      </c>
      <c r="M22" s="8" t="n"/>
      <c r="N22" s="8" t="n"/>
      <c r="O22" s="5">
        <f>IF(N22="","",N22-L22)</f>
        <v/>
      </c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5">
        <f>IFERROR(XLOOKUP(B23,'PLAYER POOL'!A:A,'PLAYER POOL'!X:X),"")</f>
        <v/>
      </c>
      <c r="K23" s="5">
        <f>IFERROR(XLOOKUP(B23,'PLAYER POOL'!A:A,'PLAYER POOL'!Y:Y),"")</f>
        <v/>
      </c>
      <c r="L23" s="5">
        <f>IF(F23="Yes",K23*IF(G23="Yes",2,1),0)</f>
        <v/>
      </c>
      <c r="M23" s="8" t="n"/>
      <c r="N23" s="8" t="n"/>
      <c r="O23" s="5">
        <f>IF(N23="","",N23-L23)</f>
        <v/>
      </c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5">
        <f>IFERROR(XLOOKUP(B24,'PLAYER POOL'!A:A,'PLAYER POOL'!X:X),"")</f>
        <v/>
      </c>
      <c r="K24" s="5">
        <f>IFERROR(XLOOKUP(B24,'PLAYER POOL'!A:A,'PLAYER POOL'!Y:Y),"")</f>
        <v/>
      </c>
      <c r="L24" s="5">
        <f>IF(F24="Yes",K24*IF(G24="Yes",2,1),0)</f>
        <v/>
      </c>
      <c r="M24" s="8" t="n"/>
      <c r="N24" s="8" t="n"/>
      <c r="O24" s="5">
        <f>IF(N24="","",N24-L24)</f>
        <v/>
      </c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5">
        <f>IFERROR(XLOOKUP(B25,'PLAYER POOL'!A:A,'PLAYER POOL'!X:X),"")</f>
        <v/>
      </c>
      <c r="K25" s="5">
        <f>IFERROR(XLOOKUP(B25,'PLAYER POOL'!A:A,'PLAYER POOL'!Y:Y),"")</f>
        <v/>
      </c>
      <c r="L25" s="5">
        <f>IF(F25="Yes",K25*IF(G25="Yes",2,1),0)</f>
        <v/>
      </c>
      <c r="M25" s="8" t="n"/>
      <c r="N25" s="8" t="n"/>
      <c r="O25" s="5">
        <f>IF(N25="","",N25-L25)</f>
        <v/>
      </c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5">
        <f>IFERROR(XLOOKUP(B26,'PLAYER POOL'!A:A,'PLAYER POOL'!X:X),"")</f>
        <v/>
      </c>
      <c r="K26" s="5">
        <f>IFERROR(XLOOKUP(B26,'PLAYER POOL'!A:A,'PLAYER POOL'!Y:Y),"")</f>
        <v/>
      </c>
      <c r="L26" s="5">
        <f>IF(F26="Yes",K26*IF(G26="Yes",2,1),0)</f>
        <v/>
      </c>
      <c r="M26" s="8" t="n"/>
      <c r="N26" s="8" t="n"/>
      <c r="O26" s="5">
        <f>IF(N26="","",N26-L26)</f>
        <v/>
      </c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5">
        <f>IFERROR(XLOOKUP(B27,'PLAYER POOL'!A:A,'PLAYER POOL'!X:X),"")</f>
        <v/>
      </c>
      <c r="K27" s="5">
        <f>IFERROR(XLOOKUP(B27,'PLAYER POOL'!A:A,'PLAYER POOL'!Y:Y),"")</f>
        <v/>
      </c>
      <c r="L27" s="5">
        <f>IF(F27="Yes",K27*IF(G27="Yes",2,1),0)</f>
        <v/>
      </c>
      <c r="M27" s="8" t="n"/>
      <c r="N27" s="8" t="n"/>
      <c r="O27" s="5">
        <f>IF(N27="","",N27-L27)</f>
        <v/>
      </c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5">
        <f>IFERROR(XLOOKUP(B28,'PLAYER POOL'!A:A,'PLAYER POOL'!X:X),"")</f>
        <v/>
      </c>
      <c r="K28" s="5">
        <f>IFERROR(XLOOKUP(B28,'PLAYER POOL'!A:A,'PLAYER POOL'!Y:Y),"")</f>
        <v/>
      </c>
      <c r="L28" s="5">
        <f>IF(F28="Yes",K28*IF(G28="Yes",2,1),0)</f>
        <v/>
      </c>
      <c r="M28" s="8" t="n"/>
      <c r="N28" s="8" t="n"/>
      <c r="O28" s="5">
        <f>IF(N28="","",N28-L28)</f>
        <v/>
      </c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5">
        <f>IFERROR(XLOOKUP(B29,'PLAYER POOL'!A:A,'PLAYER POOL'!X:X),"")</f>
        <v/>
      </c>
      <c r="K29" s="5">
        <f>IFERROR(XLOOKUP(B29,'PLAYER POOL'!A:A,'PLAYER POOL'!Y:Y),"")</f>
        <v/>
      </c>
      <c r="L29" s="5">
        <f>IF(F29="Yes",K29*IF(G29="Yes",2,1),0)</f>
        <v/>
      </c>
      <c r="M29" s="8" t="n"/>
      <c r="N29" s="8" t="n"/>
      <c r="O29" s="5">
        <f>IF(N29="","",N29-L29)</f>
        <v/>
      </c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5">
        <f>IFERROR(XLOOKUP(B30,'PLAYER POOL'!A:A,'PLAYER POOL'!X:X),"")</f>
        <v/>
      </c>
      <c r="K30" s="5">
        <f>IFERROR(XLOOKUP(B30,'PLAYER POOL'!A:A,'PLAYER POOL'!Y:Y),"")</f>
        <v/>
      </c>
      <c r="L30" s="5">
        <f>IF(F30="Yes",K30*IF(G30="Yes",2,1),0)</f>
        <v/>
      </c>
      <c r="M30" s="8" t="n"/>
      <c r="N30" s="8" t="n"/>
      <c r="O30" s="5">
        <f>IF(N30="","",N30-L30)</f>
        <v/>
      </c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5">
        <f>IFERROR(XLOOKUP(B31,'PLAYER POOL'!A:A,'PLAYER POOL'!X:X),"")</f>
        <v/>
      </c>
      <c r="K31" s="5">
        <f>IFERROR(XLOOKUP(B31,'PLAYER POOL'!A:A,'PLAYER POOL'!Y:Y),"")</f>
        <v/>
      </c>
      <c r="L31" s="5">
        <f>IF(F31="Yes",K31*IF(G31="Yes",2,1),0)</f>
        <v/>
      </c>
      <c r="M31" s="8" t="n"/>
      <c r="N31" s="8" t="n"/>
      <c r="O31" s="5">
        <f>IF(N31="","",N31-L31)</f>
        <v/>
      </c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5">
        <f>IFERROR(XLOOKUP(B32,'PLAYER POOL'!A:A,'PLAYER POOL'!X:X),"")</f>
        <v/>
      </c>
      <c r="K32" s="5">
        <f>IFERROR(XLOOKUP(B32,'PLAYER POOL'!A:A,'PLAYER POOL'!Y:Y),"")</f>
        <v/>
      </c>
      <c r="L32" s="5">
        <f>IF(F32="Yes",K32*IF(G32="Yes",2,1),0)</f>
        <v/>
      </c>
      <c r="M32" s="8" t="n"/>
      <c r="N32" s="8" t="n"/>
      <c r="O32" s="5">
        <f>IF(N32="","",N32-L32)</f>
        <v/>
      </c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5">
        <f>IFERROR(XLOOKUP(B33,'PLAYER POOL'!A:A,'PLAYER POOL'!X:X),"")</f>
        <v/>
      </c>
      <c r="K33" s="5">
        <f>IFERROR(XLOOKUP(B33,'PLAYER POOL'!A:A,'PLAYER POOL'!Y:Y),"")</f>
        <v/>
      </c>
      <c r="L33" s="5">
        <f>IF(F33="Yes",K33*IF(G33="Yes",2,1),0)</f>
        <v/>
      </c>
      <c r="M33" s="8" t="n"/>
      <c r="N33" s="8" t="n"/>
      <c r="O33" s="5">
        <f>IF(N33="","",N33-L33)</f>
        <v/>
      </c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5">
        <f>IFERROR(XLOOKUP(B34,'PLAYER POOL'!A:A,'PLAYER POOL'!X:X),"")</f>
        <v/>
      </c>
      <c r="K34" s="5">
        <f>IFERROR(XLOOKUP(B34,'PLAYER POOL'!A:A,'PLAYER POOL'!Y:Y),"")</f>
        <v/>
      </c>
      <c r="L34" s="5">
        <f>IF(F34="Yes",K34*IF(G34="Yes",2,1),0)</f>
        <v/>
      </c>
      <c r="M34" s="8" t="n"/>
      <c r="N34" s="8" t="n"/>
      <c r="O34" s="5">
        <f>IF(N34="","",N34-L34)</f>
        <v/>
      </c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5">
        <f>IFERROR(XLOOKUP(B35,'PLAYER POOL'!A:A,'PLAYER POOL'!X:X),"")</f>
        <v/>
      </c>
      <c r="K35" s="5">
        <f>IFERROR(XLOOKUP(B35,'PLAYER POOL'!A:A,'PLAYER POOL'!Y:Y),"")</f>
        <v/>
      </c>
      <c r="L35" s="5">
        <f>IF(F35="Yes",K35*IF(G35="Yes",2,1),0)</f>
        <v/>
      </c>
      <c r="M35" s="8" t="n"/>
      <c r="N35" s="8" t="n"/>
      <c r="O35" s="5">
        <f>IF(N35="","",N35-L35)</f>
        <v/>
      </c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5">
        <f>IFERROR(XLOOKUP(B36,'PLAYER POOL'!A:A,'PLAYER POOL'!X:X),"")</f>
        <v/>
      </c>
      <c r="K36" s="5">
        <f>IFERROR(XLOOKUP(B36,'PLAYER POOL'!A:A,'PLAYER POOL'!Y:Y),"")</f>
        <v/>
      </c>
      <c r="L36" s="5">
        <f>IF(F36="Yes",K36*IF(G36="Yes",2,1),0)</f>
        <v/>
      </c>
      <c r="M36" s="8" t="n"/>
      <c r="N36" s="8" t="n"/>
      <c r="O36" s="5">
        <f>IF(N36="","",N36-L36)</f>
        <v/>
      </c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5">
        <f>IFERROR(XLOOKUP(B37,'PLAYER POOL'!A:A,'PLAYER POOL'!X:X),"")</f>
        <v/>
      </c>
      <c r="K37" s="5">
        <f>IFERROR(XLOOKUP(B37,'PLAYER POOL'!A:A,'PLAYER POOL'!Y:Y),"")</f>
        <v/>
      </c>
      <c r="L37" s="5">
        <f>IF(F37="Yes",K37*IF(G37="Yes",2,1),0)</f>
        <v/>
      </c>
      <c r="M37" s="8" t="n"/>
      <c r="N37" s="8" t="n"/>
      <c r="O37" s="5">
        <f>IF(N37="","",N37-L37)</f>
        <v/>
      </c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5">
        <f>IFERROR(XLOOKUP(B38,'PLAYER POOL'!A:A,'PLAYER POOL'!X:X),"")</f>
        <v/>
      </c>
      <c r="K38" s="5">
        <f>IFERROR(XLOOKUP(B38,'PLAYER POOL'!A:A,'PLAYER POOL'!Y:Y),"")</f>
        <v/>
      </c>
      <c r="L38" s="5">
        <f>IF(F38="Yes",K38*IF(G38="Yes",2,1),0)</f>
        <v/>
      </c>
      <c r="M38" s="8" t="n"/>
      <c r="N38" s="8" t="n"/>
      <c r="O38" s="5">
        <f>IF(N38="","",N38-L38)</f>
        <v/>
      </c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5">
        <f>IFERROR(XLOOKUP(B39,'PLAYER POOL'!A:A,'PLAYER POOL'!X:X),"")</f>
        <v/>
      </c>
      <c r="K39" s="5">
        <f>IFERROR(XLOOKUP(B39,'PLAYER POOL'!A:A,'PLAYER POOL'!Y:Y),"")</f>
        <v/>
      </c>
      <c r="L39" s="5">
        <f>IF(F39="Yes",K39*IF(G39="Yes",2,1),0)</f>
        <v/>
      </c>
      <c r="M39" s="8" t="n"/>
      <c r="N39" s="8" t="n"/>
      <c r="O39" s="5">
        <f>IF(N39="","",N39-L39)</f>
        <v/>
      </c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5">
        <f>IFERROR(XLOOKUP(B40,'PLAYER POOL'!A:A,'PLAYER POOL'!X:X),"")</f>
        <v/>
      </c>
      <c r="K40" s="5">
        <f>IFERROR(XLOOKUP(B40,'PLAYER POOL'!A:A,'PLAYER POOL'!Y:Y),"")</f>
        <v/>
      </c>
      <c r="L40" s="5">
        <f>IF(F40="Yes",K40*IF(G40="Yes",2,1),0)</f>
        <v/>
      </c>
      <c r="M40" s="8" t="n"/>
      <c r="N40" s="8" t="n"/>
      <c r="O40" s="5">
        <f>IF(N40="","",N40-L40)</f>
        <v/>
      </c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5">
        <f>IFERROR(XLOOKUP(B41,'PLAYER POOL'!A:A,'PLAYER POOL'!X:X),"")</f>
        <v/>
      </c>
      <c r="K41" s="5">
        <f>IFERROR(XLOOKUP(B41,'PLAYER POOL'!A:A,'PLAYER POOL'!Y:Y),"")</f>
        <v/>
      </c>
      <c r="L41" s="5">
        <f>IF(F41="Yes",K41*IF(G41="Yes",2,1),0)</f>
        <v/>
      </c>
      <c r="M41" s="8" t="n"/>
      <c r="N41" s="8" t="n"/>
      <c r="O41" s="5">
        <f>IF(N41="","",N41-L41)</f>
        <v/>
      </c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5">
        <f>IFERROR(XLOOKUP(B42,'PLAYER POOL'!A:A,'PLAYER POOL'!X:X),"")</f>
        <v/>
      </c>
      <c r="K42" s="5">
        <f>IFERROR(XLOOKUP(B42,'PLAYER POOL'!A:A,'PLAYER POOL'!Y:Y),"")</f>
        <v/>
      </c>
      <c r="L42" s="5">
        <f>IF(F42="Yes",K42*IF(G42="Yes",2,1),0)</f>
        <v/>
      </c>
      <c r="M42" s="8" t="n"/>
      <c r="N42" s="8" t="n"/>
      <c r="O42" s="5">
        <f>IF(N42="","",N42-L42)</f>
        <v/>
      </c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5">
        <f>IFERROR(XLOOKUP(B43,'PLAYER POOL'!A:A,'PLAYER POOL'!X:X),"")</f>
        <v/>
      </c>
      <c r="K43" s="5">
        <f>IFERROR(XLOOKUP(B43,'PLAYER POOL'!A:A,'PLAYER POOL'!Y:Y),"")</f>
        <v/>
      </c>
      <c r="L43" s="5">
        <f>IF(F43="Yes",K43*IF(G43="Yes",2,1),0)</f>
        <v/>
      </c>
      <c r="M43" s="8" t="n"/>
      <c r="N43" s="8" t="n"/>
      <c r="O43" s="5">
        <f>IF(N43="","",N43-L43)</f>
        <v/>
      </c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5">
        <f>IFERROR(XLOOKUP(B44,'PLAYER POOL'!A:A,'PLAYER POOL'!X:X),"")</f>
        <v/>
      </c>
      <c r="K44" s="5">
        <f>IFERROR(XLOOKUP(B44,'PLAYER POOL'!A:A,'PLAYER POOL'!Y:Y),"")</f>
        <v/>
      </c>
      <c r="L44" s="5">
        <f>IF(F44="Yes",K44*IF(G44="Yes",2,1),0)</f>
        <v/>
      </c>
      <c r="M44" s="8" t="n"/>
      <c r="N44" s="8" t="n"/>
      <c r="O44" s="5">
        <f>IF(N44="","",N44-L44)</f>
        <v/>
      </c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5">
        <f>IFERROR(XLOOKUP(B45,'PLAYER POOL'!A:A,'PLAYER POOL'!X:X),"")</f>
        <v/>
      </c>
      <c r="K45" s="5">
        <f>IFERROR(XLOOKUP(B45,'PLAYER POOL'!A:A,'PLAYER POOL'!Y:Y),"")</f>
        <v/>
      </c>
      <c r="L45" s="5">
        <f>IF(F45="Yes",K45*IF(G45="Yes",2,1),0)</f>
        <v/>
      </c>
      <c r="M45" s="8" t="n"/>
      <c r="N45" s="8" t="n"/>
      <c r="O45" s="5">
        <f>IF(N45="","",N45-L45)</f>
        <v/>
      </c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5">
        <f>IFERROR(XLOOKUP(B46,'PLAYER POOL'!A:A,'PLAYER POOL'!X:X),"")</f>
        <v/>
      </c>
      <c r="K46" s="5">
        <f>IFERROR(XLOOKUP(B46,'PLAYER POOL'!A:A,'PLAYER POOL'!Y:Y),"")</f>
        <v/>
      </c>
      <c r="L46" s="5">
        <f>IF(F46="Yes",K46*IF(G46="Yes",2,1),0)</f>
        <v/>
      </c>
      <c r="M46" s="8" t="n"/>
      <c r="N46" s="8" t="n"/>
      <c r="O46" s="5">
        <f>IF(N46="","",N46-L46)</f>
        <v/>
      </c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5">
        <f>IFERROR(XLOOKUP(B47,'PLAYER POOL'!A:A,'PLAYER POOL'!X:X),"")</f>
        <v/>
      </c>
      <c r="K47" s="5">
        <f>IFERROR(XLOOKUP(B47,'PLAYER POOL'!A:A,'PLAYER POOL'!Y:Y),"")</f>
        <v/>
      </c>
      <c r="L47" s="5">
        <f>IF(F47="Yes",K47*IF(G47="Yes",2,1),0)</f>
        <v/>
      </c>
      <c r="M47" s="8" t="n"/>
      <c r="N47" s="8" t="n"/>
      <c r="O47" s="5">
        <f>IF(N47="","",N47-L47)</f>
        <v/>
      </c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5">
        <f>IFERROR(XLOOKUP(B48,'PLAYER POOL'!A:A,'PLAYER POOL'!X:X),"")</f>
        <v/>
      </c>
      <c r="K48" s="5">
        <f>IFERROR(XLOOKUP(B48,'PLAYER POOL'!A:A,'PLAYER POOL'!Y:Y),"")</f>
        <v/>
      </c>
      <c r="L48" s="5">
        <f>IF(F48="Yes",K48*IF(G48="Yes",2,1),0)</f>
        <v/>
      </c>
      <c r="M48" s="8" t="n"/>
      <c r="N48" s="8" t="n"/>
      <c r="O48" s="5">
        <f>IF(N48="","",N48-L48)</f>
        <v/>
      </c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5">
        <f>IFERROR(XLOOKUP(B49,'PLAYER POOL'!A:A,'PLAYER POOL'!X:X),"")</f>
        <v/>
      </c>
      <c r="K49" s="5">
        <f>IFERROR(XLOOKUP(B49,'PLAYER POOL'!A:A,'PLAYER POOL'!Y:Y),"")</f>
        <v/>
      </c>
      <c r="L49" s="5">
        <f>IF(F49="Yes",K49*IF(G49="Yes",2,1),0)</f>
        <v/>
      </c>
      <c r="M49" s="8" t="n"/>
      <c r="N49" s="8" t="n"/>
      <c r="O49" s="5">
        <f>IF(N49="","",N49-L49)</f>
        <v/>
      </c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5">
        <f>IFERROR(XLOOKUP(B50,'PLAYER POOL'!A:A,'PLAYER POOL'!X:X),"")</f>
        <v/>
      </c>
      <c r="K50" s="5">
        <f>IFERROR(XLOOKUP(B50,'PLAYER POOL'!A:A,'PLAYER POOL'!Y:Y),"")</f>
        <v/>
      </c>
      <c r="L50" s="5">
        <f>IF(F50="Yes",K50*IF(G50="Yes",2,1),0)</f>
        <v/>
      </c>
      <c r="M50" s="8" t="n"/>
      <c r="N50" s="8" t="n"/>
      <c r="O50" s="5">
        <f>IF(N50="","",N50-L50)</f>
        <v/>
      </c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5">
        <f>IFERROR(XLOOKUP(B51,'PLAYER POOL'!A:A,'PLAYER POOL'!X:X),"")</f>
        <v/>
      </c>
      <c r="K51" s="5">
        <f>IFERROR(XLOOKUP(B51,'PLAYER POOL'!A:A,'PLAYER POOL'!Y:Y),"")</f>
        <v/>
      </c>
      <c r="L51" s="5">
        <f>IF(F51="Yes",K51*IF(G51="Yes",2,1),0)</f>
        <v/>
      </c>
      <c r="M51" s="8" t="n"/>
      <c r="N51" s="8" t="n"/>
      <c r="O51" s="5">
        <f>IF(N51="","",N51-L51)</f>
        <v/>
      </c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5">
        <f>IFERROR(XLOOKUP(B52,'PLAYER POOL'!A:A,'PLAYER POOL'!X:X),"")</f>
        <v/>
      </c>
      <c r="K52" s="5">
        <f>IFERROR(XLOOKUP(B52,'PLAYER POOL'!A:A,'PLAYER POOL'!Y:Y),"")</f>
        <v/>
      </c>
      <c r="L52" s="5">
        <f>IF(F52="Yes",K52*IF(G52="Yes",2,1),0)</f>
        <v/>
      </c>
      <c r="M52" s="8" t="n"/>
      <c r="N52" s="8" t="n"/>
      <c r="O52" s="5">
        <f>IF(N52="","",N52-L52)</f>
        <v/>
      </c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5">
        <f>IFERROR(XLOOKUP(B53,'PLAYER POOL'!A:A,'PLAYER POOL'!X:X),"")</f>
        <v/>
      </c>
      <c r="K53" s="5">
        <f>IFERROR(XLOOKUP(B53,'PLAYER POOL'!A:A,'PLAYER POOL'!Y:Y),"")</f>
        <v/>
      </c>
      <c r="L53" s="5">
        <f>IF(F53="Yes",K53*IF(G53="Yes",2,1),0)</f>
        <v/>
      </c>
      <c r="M53" s="8" t="n"/>
      <c r="N53" s="8" t="n"/>
      <c r="O53" s="5">
        <f>IF(N53="","",N53-L53)</f>
        <v/>
      </c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5">
        <f>IFERROR(XLOOKUP(B54,'PLAYER POOL'!A:A,'PLAYER POOL'!X:X),"")</f>
        <v/>
      </c>
      <c r="K54" s="5">
        <f>IFERROR(XLOOKUP(B54,'PLAYER POOL'!A:A,'PLAYER POOL'!Y:Y),"")</f>
        <v/>
      </c>
      <c r="L54" s="5">
        <f>IF(F54="Yes",K54*IF(G54="Yes",2,1),0)</f>
        <v/>
      </c>
      <c r="M54" s="8" t="n"/>
      <c r="N54" s="8" t="n"/>
      <c r="O54" s="5">
        <f>IF(N54="","",N54-L54)</f>
        <v/>
      </c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5">
        <f>IFERROR(XLOOKUP(B55,'PLAYER POOL'!A:A,'PLAYER POOL'!X:X),"")</f>
        <v/>
      </c>
      <c r="K55" s="5">
        <f>IFERROR(XLOOKUP(B55,'PLAYER POOL'!A:A,'PLAYER POOL'!Y:Y),"")</f>
        <v/>
      </c>
      <c r="L55" s="5">
        <f>IF(F55="Yes",K55*IF(G55="Yes",2,1),0)</f>
        <v/>
      </c>
      <c r="M55" s="8" t="n"/>
      <c r="N55" s="8" t="n"/>
      <c r="O55" s="5">
        <f>IF(N55="","",N55-L55)</f>
        <v/>
      </c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5">
        <f>IFERROR(XLOOKUP(B56,'PLAYER POOL'!A:A,'PLAYER POOL'!X:X),"")</f>
        <v/>
      </c>
      <c r="K56" s="5">
        <f>IFERROR(XLOOKUP(B56,'PLAYER POOL'!A:A,'PLAYER POOL'!Y:Y),"")</f>
        <v/>
      </c>
      <c r="L56" s="5">
        <f>IF(F56="Yes",K56*IF(G56="Yes",2,1),0)</f>
        <v/>
      </c>
      <c r="M56" s="8" t="n"/>
      <c r="N56" s="8" t="n"/>
      <c r="O56" s="5">
        <f>IF(N56="","",N56-L56)</f>
        <v/>
      </c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5">
        <f>IFERROR(XLOOKUP(B57,'PLAYER POOL'!A:A,'PLAYER POOL'!X:X),"")</f>
        <v/>
      </c>
      <c r="K57" s="5">
        <f>IFERROR(XLOOKUP(B57,'PLAYER POOL'!A:A,'PLAYER POOL'!Y:Y),"")</f>
        <v/>
      </c>
      <c r="L57" s="5">
        <f>IF(F57="Yes",K57*IF(G57="Yes",2,1),0)</f>
        <v/>
      </c>
      <c r="M57" s="8" t="n"/>
      <c r="N57" s="8" t="n"/>
      <c r="O57" s="5">
        <f>IF(N57="","",N57-L57)</f>
        <v/>
      </c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5">
        <f>IFERROR(XLOOKUP(B58,'PLAYER POOL'!A:A,'PLAYER POOL'!X:X),"")</f>
        <v/>
      </c>
      <c r="K58" s="5">
        <f>IFERROR(XLOOKUP(B58,'PLAYER POOL'!A:A,'PLAYER POOL'!Y:Y),"")</f>
        <v/>
      </c>
      <c r="L58" s="5">
        <f>IF(F58="Yes",K58*IF(G58="Yes",2,1),0)</f>
        <v/>
      </c>
      <c r="M58" s="8" t="n"/>
      <c r="N58" s="8" t="n"/>
      <c r="O58" s="5">
        <f>IF(N58="","",N58-L58)</f>
        <v/>
      </c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5">
        <f>IFERROR(XLOOKUP(B59,'PLAYER POOL'!A:A,'PLAYER POOL'!X:X),"")</f>
        <v/>
      </c>
      <c r="K59" s="5">
        <f>IFERROR(XLOOKUP(B59,'PLAYER POOL'!A:A,'PLAYER POOL'!Y:Y),"")</f>
        <v/>
      </c>
      <c r="L59" s="5">
        <f>IF(F59="Yes",K59*IF(G59="Yes",2,1),0)</f>
        <v/>
      </c>
      <c r="M59" s="8" t="n"/>
      <c r="N59" s="8" t="n"/>
      <c r="O59" s="5">
        <f>IF(N59="","",N59-L59)</f>
        <v/>
      </c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5">
        <f>IFERROR(XLOOKUP(B60,'PLAYER POOL'!A:A,'PLAYER POOL'!X:X),"")</f>
        <v/>
      </c>
      <c r="K60" s="5">
        <f>IFERROR(XLOOKUP(B60,'PLAYER POOL'!A:A,'PLAYER POOL'!Y:Y),"")</f>
        <v/>
      </c>
      <c r="L60" s="5">
        <f>IF(F60="Yes",K60*IF(G60="Yes",2,1),0)</f>
        <v/>
      </c>
      <c r="M60" s="8" t="n"/>
      <c r="N60" s="8" t="n"/>
      <c r="O60" s="5">
        <f>IF(N60="","",N60-L60)</f>
        <v/>
      </c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5">
        <f>IFERROR(XLOOKUP(B61,'PLAYER POOL'!A:A,'PLAYER POOL'!X:X),"")</f>
        <v/>
      </c>
      <c r="K61" s="5">
        <f>IFERROR(XLOOKUP(B61,'PLAYER POOL'!A:A,'PLAYER POOL'!Y:Y),"")</f>
        <v/>
      </c>
      <c r="L61" s="5">
        <f>IF(F61="Yes",K61*IF(G61="Yes",2,1),0)</f>
        <v/>
      </c>
      <c r="M61" s="8" t="n"/>
      <c r="N61" s="8" t="n"/>
      <c r="O61" s="5">
        <f>IF(N61="","",N61-L61)</f>
        <v/>
      </c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5">
        <f>IFERROR(XLOOKUP(B62,'PLAYER POOL'!A:A,'PLAYER POOL'!X:X),"")</f>
        <v/>
      </c>
      <c r="K62" s="5">
        <f>IFERROR(XLOOKUP(B62,'PLAYER POOL'!A:A,'PLAYER POOL'!Y:Y),"")</f>
        <v/>
      </c>
      <c r="L62" s="5">
        <f>IF(F62="Yes",K62*IF(G62="Yes",2,1),0)</f>
        <v/>
      </c>
      <c r="M62" s="8" t="n"/>
      <c r="N62" s="8" t="n"/>
      <c r="O62" s="5">
        <f>IF(N62="","",N62-L62)</f>
        <v/>
      </c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5">
        <f>IFERROR(XLOOKUP(B63,'PLAYER POOL'!A:A,'PLAYER POOL'!X:X),"")</f>
        <v/>
      </c>
      <c r="K63" s="5">
        <f>IFERROR(XLOOKUP(B63,'PLAYER POOL'!A:A,'PLAYER POOL'!Y:Y),"")</f>
        <v/>
      </c>
      <c r="L63" s="5">
        <f>IF(F63="Yes",K63*IF(G63="Yes",2,1),0)</f>
        <v/>
      </c>
      <c r="M63" s="8" t="n"/>
      <c r="N63" s="8" t="n"/>
      <c r="O63" s="5">
        <f>IF(N63="","",N63-L63)</f>
        <v/>
      </c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5">
        <f>IFERROR(XLOOKUP(B64,'PLAYER POOL'!A:A,'PLAYER POOL'!X:X),"")</f>
        <v/>
      </c>
      <c r="K64" s="5">
        <f>IFERROR(XLOOKUP(B64,'PLAYER POOL'!A:A,'PLAYER POOL'!Y:Y),"")</f>
        <v/>
      </c>
      <c r="L64" s="5">
        <f>IF(F64="Yes",K64*IF(G64="Yes",2,1),0)</f>
        <v/>
      </c>
      <c r="M64" s="8" t="n"/>
      <c r="N64" s="8" t="n"/>
      <c r="O64" s="5">
        <f>IF(N64="","",N64-L64)</f>
        <v/>
      </c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5">
        <f>IFERROR(XLOOKUP(B65,'PLAYER POOL'!A:A,'PLAYER POOL'!X:X),"")</f>
        <v/>
      </c>
      <c r="K65" s="5">
        <f>IFERROR(XLOOKUP(B65,'PLAYER POOL'!A:A,'PLAYER POOL'!Y:Y),"")</f>
        <v/>
      </c>
      <c r="L65" s="5">
        <f>IF(F65="Yes",K65*IF(G65="Yes",2,1),0)</f>
        <v/>
      </c>
      <c r="M65" s="8" t="n"/>
      <c r="N65" s="8" t="n"/>
      <c r="O65" s="5">
        <f>IF(N65="","",N65-L65)</f>
        <v/>
      </c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5">
        <f>IFERROR(XLOOKUP(B66,'PLAYER POOL'!A:A,'PLAYER POOL'!X:X),"")</f>
        <v/>
      </c>
      <c r="K66" s="5">
        <f>IFERROR(XLOOKUP(B66,'PLAYER POOL'!A:A,'PLAYER POOL'!Y:Y),"")</f>
        <v/>
      </c>
      <c r="L66" s="5">
        <f>IF(F66="Yes",K66*IF(G66="Yes",2,1),0)</f>
        <v/>
      </c>
      <c r="M66" s="8" t="n"/>
      <c r="N66" s="8" t="n"/>
      <c r="O66" s="5">
        <f>IF(N66="","",N66-L66)</f>
        <v/>
      </c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5">
        <f>IFERROR(XLOOKUP(B67,'PLAYER POOL'!A:A,'PLAYER POOL'!X:X),"")</f>
        <v/>
      </c>
      <c r="K67" s="5">
        <f>IFERROR(XLOOKUP(B67,'PLAYER POOL'!A:A,'PLAYER POOL'!Y:Y),"")</f>
        <v/>
      </c>
      <c r="L67" s="5">
        <f>IF(F67="Yes",K67*IF(G67="Yes",2,1),0)</f>
        <v/>
      </c>
      <c r="M67" s="8" t="n"/>
      <c r="N67" s="8" t="n"/>
      <c r="O67" s="5">
        <f>IF(N67="","",N67-L67)</f>
        <v/>
      </c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5">
        <f>IFERROR(XLOOKUP(B68,'PLAYER POOL'!A:A,'PLAYER POOL'!X:X),"")</f>
        <v/>
      </c>
      <c r="K68" s="5">
        <f>IFERROR(XLOOKUP(B68,'PLAYER POOL'!A:A,'PLAYER POOL'!Y:Y),"")</f>
        <v/>
      </c>
      <c r="L68" s="5">
        <f>IF(F68="Yes",K68*IF(G68="Yes",2,1),0)</f>
        <v/>
      </c>
      <c r="M68" s="8" t="n"/>
      <c r="N68" s="8" t="n"/>
      <c r="O68" s="5">
        <f>IF(N68="","",N68-L68)</f>
        <v/>
      </c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5">
        <f>IFERROR(XLOOKUP(B69,'PLAYER POOL'!A:A,'PLAYER POOL'!X:X),"")</f>
        <v/>
      </c>
      <c r="K69" s="5">
        <f>IFERROR(XLOOKUP(B69,'PLAYER POOL'!A:A,'PLAYER POOL'!Y:Y),"")</f>
        <v/>
      </c>
      <c r="L69" s="5">
        <f>IF(F69="Yes",K69*IF(G69="Yes",2,1),0)</f>
        <v/>
      </c>
      <c r="M69" s="8" t="n"/>
      <c r="N69" s="8" t="n"/>
      <c r="O69" s="5">
        <f>IF(N69="","",N69-L69)</f>
        <v/>
      </c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5">
        <f>IFERROR(XLOOKUP(B70,'PLAYER POOL'!A:A,'PLAYER POOL'!X:X),"")</f>
        <v/>
      </c>
      <c r="K70" s="5">
        <f>IFERROR(XLOOKUP(B70,'PLAYER POOL'!A:A,'PLAYER POOL'!Y:Y),"")</f>
        <v/>
      </c>
      <c r="L70" s="5">
        <f>IF(F70="Yes",K70*IF(G70="Yes",2,1),0)</f>
        <v/>
      </c>
      <c r="M70" s="8" t="n"/>
      <c r="N70" s="8" t="n"/>
      <c r="O70" s="5">
        <f>IF(N70="","",N70-L70)</f>
        <v/>
      </c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5">
        <f>IFERROR(XLOOKUP(B71,'PLAYER POOL'!A:A,'PLAYER POOL'!X:X),"")</f>
        <v/>
      </c>
      <c r="K71" s="5">
        <f>IFERROR(XLOOKUP(B71,'PLAYER POOL'!A:A,'PLAYER POOL'!Y:Y),"")</f>
        <v/>
      </c>
      <c r="L71" s="5">
        <f>IF(F71="Yes",K71*IF(G71="Yes",2,1),0)</f>
        <v/>
      </c>
      <c r="M71" s="8" t="n"/>
      <c r="N71" s="8" t="n"/>
      <c r="O71" s="5">
        <f>IF(N71="","",N71-L71)</f>
        <v/>
      </c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5">
        <f>IFERROR(XLOOKUP(B72,'PLAYER POOL'!A:A,'PLAYER POOL'!X:X),"")</f>
        <v/>
      </c>
      <c r="K72" s="5">
        <f>IFERROR(XLOOKUP(B72,'PLAYER POOL'!A:A,'PLAYER POOL'!Y:Y),"")</f>
        <v/>
      </c>
      <c r="L72" s="5">
        <f>IF(F72="Yes",K72*IF(G72="Yes",2,1),0)</f>
        <v/>
      </c>
      <c r="M72" s="8" t="n"/>
      <c r="N72" s="8" t="n"/>
      <c r="O72" s="5">
        <f>IF(N72="","",N72-L72)</f>
        <v/>
      </c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5">
        <f>IFERROR(XLOOKUP(B73,'PLAYER POOL'!A:A,'PLAYER POOL'!X:X),"")</f>
        <v/>
      </c>
      <c r="K73" s="5">
        <f>IFERROR(XLOOKUP(B73,'PLAYER POOL'!A:A,'PLAYER POOL'!Y:Y),"")</f>
        <v/>
      </c>
      <c r="L73" s="5">
        <f>IF(F73="Yes",K73*IF(G73="Yes",2,1),0)</f>
        <v/>
      </c>
      <c r="M73" s="8" t="n"/>
      <c r="N73" s="8" t="n"/>
      <c r="O73" s="5">
        <f>IF(N73="","",N73-L73)</f>
        <v/>
      </c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5">
        <f>IFERROR(XLOOKUP(B74,'PLAYER POOL'!A:A,'PLAYER POOL'!X:X),"")</f>
        <v/>
      </c>
      <c r="K74" s="5">
        <f>IFERROR(XLOOKUP(B74,'PLAYER POOL'!A:A,'PLAYER POOL'!Y:Y),"")</f>
        <v/>
      </c>
      <c r="L74" s="5">
        <f>IF(F74="Yes",K74*IF(G74="Yes",2,1),0)</f>
        <v/>
      </c>
      <c r="M74" s="8" t="n"/>
      <c r="N74" s="8" t="n"/>
      <c r="O74" s="5">
        <f>IF(N74="","",N74-L74)</f>
        <v/>
      </c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5">
        <f>IFERROR(XLOOKUP(B75,'PLAYER POOL'!A:A,'PLAYER POOL'!X:X),"")</f>
        <v/>
      </c>
      <c r="K75" s="5">
        <f>IFERROR(XLOOKUP(B75,'PLAYER POOL'!A:A,'PLAYER POOL'!Y:Y),"")</f>
        <v/>
      </c>
      <c r="L75" s="5">
        <f>IF(F75="Yes",K75*IF(G75="Yes",2,1),0)</f>
        <v/>
      </c>
      <c r="M75" s="8" t="n"/>
      <c r="N75" s="8" t="n"/>
      <c r="O75" s="5">
        <f>IF(N75="","",N75-L75)</f>
        <v/>
      </c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5">
        <f>IFERROR(XLOOKUP(B76,'PLAYER POOL'!A:A,'PLAYER POOL'!X:X),"")</f>
        <v/>
      </c>
      <c r="K76" s="5">
        <f>IFERROR(XLOOKUP(B76,'PLAYER POOL'!A:A,'PLAYER POOL'!Y:Y),"")</f>
        <v/>
      </c>
      <c r="L76" s="5">
        <f>IF(F76="Yes",K76*IF(G76="Yes",2,1),0)</f>
        <v/>
      </c>
      <c r="M76" s="8" t="n"/>
      <c r="N76" s="8" t="n"/>
      <c r="O76" s="5">
        <f>IF(N76="","",N76-L76)</f>
        <v/>
      </c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5">
        <f>IFERROR(XLOOKUP(B77,'PLAYER POOL'!A:A,'PLAYER POOL'!X:X),"")</f>
        <v/>
      </c>
      <c r="K77" s="5">
        <f>IFERROR(XLOOKUP(B77,'PLAYER POOL'!A:A,'PLAYER POOL'!Y:Y),"")</f>
        <v/>
      </c>
      <c r="L77" s="5">
        <f>IF(F77="Yes",K77*IF(G77="Yes",2,1),0)</f>
        <v/>
      </c>
      <c r="M77" s="8" t="n"/>
      <c r="N77" s="8" t="n"/>
      <c r="O77" s="5">
        <f>IF(N77="","",N77-L77)</f>
        <v/>
      </c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5">
        <f>IFERROR(XLOOKUP(B78,'PLAYER POOL'!A:A,'PLAYER POOL'!X:X),"")</f>
        <v/>
      </c>
      <c r="K78" s="5">
        <f>IFERROR(XLOOKUP(B78,'PLAYER POOL'!A:A,'PLAYER POOL'!Y:Y),"")</f>
        <v/>
      </c>
      <c r="L78" s="5">
        <f>IF(F78="Yes",K78*IF(G78="Yes",2,1),0)</f>
        <v/>
      </c>
      <c r="M78" s="8" t="n"/>
      <c r="N78" s="8" t="n"/>
      <c r="O78" s="5">
        <f>IF(N78="","",N78-L78)</f>
        <v/>
      </c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5">
        <f>IFERROR(XLOOKUP(B79,'PLAYER POOL'!A:A,'PLAYER POOL'!X:X),"")</f>
        <v/>
      </c>
      <c r="K79" s="5">
        <f>IFERROR(XLOOKUP(B79,'PLAYER POOL'!A:A,'PLAYER POOL'!Y:Y),"")</f>
        <v/>
      </c>
      <c r="L79" s="5">
        <f>IF(F79="Yes",K79*IF(G79="Yes",2,1),0)</f>
        <v/>
      </c>
      <c r="M79" s="8" t="n"/>
      <c r="N79" s="8" t="n"/>
      <c r="O79" s="5">
        <f>IF(N79="","",N79-L79)</f>
        <v/>
      </c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5">
        <f>IFERROR(XLOOKUP(B80,'PLAYER POOL'!A:A,'PLAYER POOL'!X:X),"")</f>
        <v/>
      </c>
      <c r="K80" s="5">
        <f>IFERROR(XLOOKUP(B80,'PLAYER POOL'!A:A,'PLAYER POOL'!Y:Y),"")</f>
        <v/>
      </c>
      <c r="L80" s="5">
        <f>IF(F80="Yes",K80*IF(G80="Yes",2,1),0)</f>
        <v/>
      </c>
      <c r="M80" s="8" t="n"/>
      <c r="N80" s="8" t="n"/>
      <c r="O80" s="5">
        <f>IF(N80="","",N80-L80)</f>
        <v/>
      </c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5">
        <f>IFERROR(XLOOKUP(B81,'PLAYER POOL'!A:A,'PLAYER POOL'!X:X),"")</f>
        <v/>
      </c>
      <c r="K81" s="5">
        <f>IFERROR(XLOOKUP(B81,'PLAYER POOL'!A:A,'PLAYER POOL'!Y:Y),"")</f>
        <v/>
      </c>
      <c r="L81" s="5">
        <f>IF(F81="Yes",K81*IF(G81="Yes",2,1),0)</f>
        <v/>
      </c>
      <c r="M81" s="8" t="n"/>
      <c r="N81" s="8" t="n"/>
      <c r="O81" s="5">
        <f>IF(N81="","",N81-L81)</f>
        <v/>
      </c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5">
        <f>IFERROR(XLOOKUP(B82,'PLAYER POOL'!A:A,'PLAYER POOL'!X:X),"")</f>
        <v/>
      </c>
      <c r="K82" s="5">
        <f>IFERROR(XLOOKUP(B82,'PLAYER POOL'!A:A,'PLAYER POOL'!Y:Y),"")</f>
        <v/>
      </c>
      <c r="L82" s="5">
        <f>IF(F82="Yes",K82*IF(G82="Yes",2,1),0)</f>
        <v/>
      </c>
      <c r="M82" s="8" t="n"/>
      <c r="N82" s="8" t="n"/>
      <c r="O82" s="5">
        <f>IF(N82="","",N82-L82)</f>
        <v/>
      </c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5">
        <f>IFERROR(XLOOKUP(B83,'PLAYER POOL'!A:A,'PLAYER POOL'!X:X),"")</f>
        <v/>
      </c>
      <c r="K83" s="5">
        <f>IFERROR(XLOOKUP(B83,'PLAYER POOL'!A:A,'PLAYER POOL'!Y:Y),"")</f>
        <v/>
      </c>
      <c r="L83" s="5">
        <f>IF(F83="Yes",K83*IF(G83="Yes",2,1),0)</f>
        <v/>
      </c>
      <c r="M83" s="8" t="n"/>
      <c r="N83" s="8" t="n"/>
      <c r="O83" s="5">
        <f>IF(N83="","",N83-L83)</f>
        <v/>
      </c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5">
        <f>IFERROR(XLOOKUP(B84,'PLAYER POOL'!A:A,'PLAYER POOL'!X:X),"")</f>
        <v/>
      </c>
      <c r="K84" s="5">
        <f>IFERROR(XLOOKUP(B84,'PLAYER POOL'!A:A,'PLAYER POOL'!Y:Y),"")</f>
        <v/>
      </c>
      <c r="L84" s="5">
        <f>IF(F84="Yes",K84*IF(G84="Yes",2,1),0)</f>
        <v/>
      </c>
      <c r="M84" s="8" t="n"/>
      <c r="N84" s="8" t="n"/>
      <c r="O84" s="5">
        <f>IF(N84="","",N84-L84)</f>
        <v/>
      </c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5">
        <f>IFERROR(XLOOKUP(B85,'PLAYER POOL'!A:A,'PLAYER POOL'!X:X),"")</f>
        <v/>
      </c>
      <c r="K85" s="5">
        <f>IFERROR(XLOOKUP(B85,'PLAYER POOL'!A:A,'PLAYER POOL'!Y:Y),"")</f>
        <v/>
      </c>
      <c r="L85" s="5">
        <f>IF(F85="Yes",K85*IF(G85="Yes",2,1),0)</f>
        <v/>
      </c>
      <c r="M85" s="8" t="n"/>
      <c r="N85" s="8" t="n"/>
      <c r="O85" s="5">
        <f>IF(N85="","",N85-L85)</f>
        <v/>
      </c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5">
        <f>IFERROR(XLOOKUP(B86,'PLAYER POOL'!A:A,'PLAYER POOL'!X:X),"")</f>
        <v/>
      </c>
      <c r="K86" s="5">
        <f>IFERROR(XLOOKUP(B86,'PLAYER POOL'!A:A,'PLAYER POOL'!Y:Y),"")</f>
        <v/>
      </c>
      <c r="L86" s="5">
        <f>IF(F86="Yes",K86*IF(G86="Yes",2,1),0)</f>
        <v/>
      </c>
      <c r="M86" s="8" t="n"/>
      <c r="N86" s="8" t="n"/>
      <c r="O86" s="5">
        <f>IF(N86="","",N86-L86)</f>
        <v/>
      </c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5">
        <f>IFERROR(XLOOKUP(B87,'PLAYER POOL'!A:A,'PLAYER POOL'!X:X),"")</f>
        <v/>
      </c>
      <c r="K87" s="5">
        <f>IFERROR(XLOOKUP(B87,'PLAYER POOL'!A:A,'PLAYER POOL'!Y:Y),"")</f>
        <v/>
      </c>
      <c r="L87" s="5">
        <f>IF(F87="Yes",K87*IF(G87="Yes",2,1),0)</f>
        <v/>
      </c>
      <c r="M87" s="8" t="n"/>
      <c r="N87" s="8" t="n"/>
      <c r="O87" s="5">
        <f>IF(N87="","",N87-L87)</f>
        <v/>
      </c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5">
        <f>IFERROR(XLOOKUP(B88,'PLAYER POOL'!A:A,'PLAYER POOL'!X:X),"")</f>
        <v/>
      </c>
      <c r="K88" s="5">
        <f>IFERROR(XLOOKUP(B88,'PLAYER POOL'!A:A,'PLAYER POOL'!Y:Y),"")</f>
        <v/>
      </c>
      <c r="L88" s="5">
        <f>IF(F88="Yes",K88*IF(G88="Yes",2,1),0)</f>
        <v/>
      </c>
      <c r="M88" s="8" t="n"/>
      <c r="N88" s="8" t="n"/>
      <c r="O88" s="5">
        <f>IF(N88="","",N88-L88)</f>
        <v/>
      </c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5">
        <f>IFERROR(XLOOKUP(B89,'PLAYER POOL'!A:A,'PLAYER POOL'!X:X),"")</f>
        <v/>
      </c>
      <c r="K89" s="5">
        <f>IFERROR(XLOOKUP(B89,'PLAYER POOL'!A:A,'PLAYER POOL'!Y:Y),"")</f>
        <v/>
      </c>
      <c r="L89" s="5">
        <f>IF(F89="Yes",K89*IF(G89="Yes",2,1),0)</f>
        <v/>
      </c>
      <c r="M89" s="8" t="n"/>
      <c r="N89" s="8" t="n"/>
      <c r="O89" s="5">
        <f>IF(N89="","",N89-L89)</f>
        <v/>
      </c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5">
        <f>IFERROR(XLOOKUP(B90,'PLAYER POOL'!A:A,'PLAYER POOL'!X:X),"")</f>
        <v/>
      </c>
      <c r="K90" s="5">
        <f>IFERROR(XLOOKUP(B90,'PLAYER POOL'!A:A,'PLAYER POOL'!Y:Y),"")</f>
        <v/>
      </c>
      <c r="L90" s="5">
        <f>IF(F90="Yes",K90*IF(G90="Yes",2,1),0)</f>
        <v/>
      </c>
      <c r="M90" s="8" t="n"/>
      <c r="N90" s="8" t="n"/>
      <c r="O90" s="5">
        <f>IF(N90="","",N90-L90)</f>
        <v/>
      </c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5">
        <f>IFERROR(XLOOKUP(B91,'PLAYER POOL'!A:A,'PLAYER POOL'!X:X),"")</f>
        <v/>
      </c>
      <c r="K91" s="5">
        <f>IFERROR(XLOOKUP(B91,'PLAYER POOL'!A:A,'PLAYER POOL'!Y:Y),"")</f>
        <v/>
      </c>
      <c r="L91" s="5">
        <f>IF(F91="Yes",K91*IF(G91="Yes",2,1),0)</f>
        <v/>
      </c>
      <c r="M91" s="8" t="n"/>
      <c r="N91" s="8" t="n"/>
      <c r="O91" s="5">
        <f>IF(N91="","",N91-L91)</f>
        <v/>
      </c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5">
        <f>IFERROR(XLOOKUP(B92,'PLAYER POOL'!A:A,'PLAYER POOL'!X:X),"")</f>
        <v/>
      </c>
      <c r="K92" s="5">
        <f>IFERROR(XLOOKUP(B92,'PLAYER POOL'!A:A,'PLAYER POOL'!Y:Y),"")</f>
        <v/>
      </c>
      <c r="L92" s="5">
        <f>IF(F92="Yes",K92*IF(G92="Yes",2,1),0)</f>
        <v/>
      </c>
      <c r="M92" s="8" t="n"/>
      <c r="N92" s="8" t="n"/>
      <c r="O92" s="5">
        <f>IF(N92="","",N92-L92)</f>
        <v/>
      </c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5">
        <f>IFERROR(XLOOKUP(B93,'PLAYER POOL'!A:A,'PLAYER POOL'!X:X),"")</f>
        <v/>
      </c>
      <c r="K93" s="5">
        <f>IFERROR(XLOOKUP(B93,'PLAYER POOL'!A:A,'PLAYER POOL'!Y:Y),"")</f>
        <v/>
      </c>
      <c r="L93" s="5">
        <f>IF(F93="Yes",K93*IF(G93="Yes",2,1),0)</f>
        <v/>
      </c>
      <c r="M93" s="8" t="n"/>
      <c r="N93" s="8" t="n"/>
      <c r="O93" s="5">
        <f>IF(N93="","",N93-L93)</f>
        <v/>
      </c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5">
        <f>IFERROR(XLOOKUP(B94,'PLAYER POOL'!A:A,'PLAYER POOL'!X:X),"")</f>
        <v/>
      </c>
      <c r="K94" s="5">
        <f>IFERROR(XLOOKUP(B94,'PLAYER POOL'!A:A,'PLAYER POOL'!Y:Y),"")</f>
        <v/>
      </c>
      <c r="L94" s="5">
        <f>IF(F94="Yes",K94*IF(G94="Yes",2,1),0)</f>
        <v/>
      </c>
      <c r="M94" s="8" t="n"/>
      <c r="N94" s="8" t="n"/>
      <c r="O94" s="5">
        <f>IF(N94="","",N94-L94)</f>
        <v/>
      </c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5">
        <f>IFERROR(XLOOKUP(B95,'PLAYER POOL'!A:A,'PLAYER POOL'!X:X),"")</f>
        <v/>
      </c>
      <c r="K95" s="5">
        <f>IFERROR(XLOOKUP(B95,'PLAYER POOL'!A:A,'PLAYER POOL'!Y:Y),"")</f>
        <v/>
      </c>
      <c r="L95" s="5">
        <f>IF(F95="Yes",K95*IF(G95="Yes",2,1),0)</f>
        <v/>
      </c>
      <c r="M95" s="8" t="n"/>
      <c r="N95" s="8" t="n"/>
      <c r="O95" s="5">
        <f>IF(N95="","",N95-L95)</f>
        <v/>
      </c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5">
        <f>IFERROR(XLOOKUP(B96,'PLAYER POOL'!A:A,'PLAYER POOL'!X:X),"")</f>
        <v/>
      </c>
      <c r="K96" s="5">
        <f>IFERROR(XLOOKUP(B96,'PLAYER POOL'!A:A,'PLAYER POOL'!Y:Y),"")</f>
        <v/>
      </c>
      <c r="L96" s="5">
        <f>IF(F96="Yes",K96*IF(G96="Yes",2,1),0)</f>
        <v/>
      </c>
      <c r="M96" s="8" t="n"/>
      <c r="N96" s="8" t="n"/>
      <c r="O96" s="5">
        <f>IF(N96="","",N96-L96)</f>
        <v/>
      </c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5">
        <f>IFERROR(XLOOKUP(B97,'PLAYER POOL'!A:A,'PLAYER POOL'!X:X),"")</f>
        <v/>
      </c>
      <c r="K97" s="5">
        <f>IFERROR(XLOOKUP(B97,'PLAYER POOL'!A:A,'PLAYER POOL'!Y:Y),"")</f>
        <v/>
      </c>
      <c r="L97" s="5">
        <f>IF(F97="Yes",K97*IF(G97="Yes",2,1),0)</f>
        <v/>
      </c>
      <c r="M97" s="8" t="n"/>
      <c r="N97" s="8" t="n"/>
      <c r="O97" s="5">
        <f>IF(N97="","",N97-L97)</f>
        <v/>
      </c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5">
        <f>IFERROR(XLOOKUP(B98,'PLAYER POOL'!A:A,'PLAYER POOL'!X:X),"")</f>
        <v/>
      </c>
      <c r="K98" s="5">
        <f>IFERROR(XLOOKUP(B98,'PLAYER POOL'!A:A,'PLAYER POOL'!Y:Y),"")</f>
        <v/>
      </c>
      <c r="L98" s="5">
        <f>IF(F98="Yes",K98*IF(G98="Yes",2,1),0)</f>
        <v/>
      </c>
      <c r="M98" s="8" t="n"/>
      <c r="N98" s="8" t="n"/>
      <c r="O98" s="5">
        <f>IF(N98="","",N98-L98)</f>
        <v/>
      </c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5">
        <f>IFERROR(XLOOKUP(B99,'PLAYER POOL'!A:A,'PLAYER POOL'!X:X),"")</f>
        <v/>
      </c>
      <c r="K99" s="5">
        <f>IFERROR(XLOOKUP(B99,'PLAYER POOL'!A:A,'PLAYER POOL'!Y:Y),"")</f>
        <v/>
      </c>
      <c r="L99" s="5">
        <f>IF(F99="Yes",K99*IF(G99="Yes",2,1),0)</f>
        <v/>
      </c>
      <c r="M99" s="8" t="n"/>
      <c r="N99" s="8" t="n"/>
      <c r="O99" s="5">
        <f>IF(N99="","",N99-L99)</f>
        <v/>
      </c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5">
        <f>IFERROR(XLOOKUP(B100,'PLAYER POOL'!A:A,'PLAYER POOL'!X:X),"")</f>
        <v/>
      </c>
      <c r="K100" s="5">
        <f>IFERROR(XLOOKUP(B100,'PLAYER POOL'!A:A,'PLAYER POOL'!Y:Y),"")</f>
        <v/>
      </c>
      <c r="L100" s="5">
        <f>IF(F100="Yes",K100*IF(G100="Yes",2,1),0)</f>
        <v/>
      </c>
      <c r="M100" s="8" t="n"/>
      <c r="N100" s="8" t="n"/>
      <c r="O100" s="5">
        <f>IF(N100="","",N100-L100)</f>
        <v/>
      </c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5">
        <f>IFERROR(XLOOKUP(B101,'PLAYER POOL'!A:A,'PLAYER POOL'!X:X),"")</f>
        <v/>
      </c>
      <c r="K101" s="5">
        <f>IFERROR(XLOOKUP(B101,'PLAYER POOL'!A:A,'PLAYER POOL'!Y:Y),"")</f>
        <v/>
      </c>
      <c r="L101" s="5">
        <f>IF(F101="Yes",K101*IF(G101="Yes",2,1),0)</f>
        <v/>
      </c>
      <c r="M101" s="8" t="n"/>
      <c r="N101" s="8" t="n"/>
      <c r="O101" s="5">
        <f>IF(N101="","",N101-L101)</f>
        <v/>
      </c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5">
        <f>IFERROR(XLOOKUP(B102,'PLAYER POOL'!A:A,'PLAYER POOL'!X:X),"")</f>
        <v/>
      </c>
      <c r="K102" s="5">
        <f>IFERROR(XLOOKUP(B102,'PLAYER POOL'!A:A,'PLAYER POOL'!Y:Y),"")</f>
        <v/>
      </c>
      <c r="L102" s="5">
        <f>IF(F102="Yes",K102*IF(G102="Yes",2,1),0)</f>
        <v/>
      </c>
      <c r="M102" s="8" t="n"/>
      <c r="N102" s="8" t="n"/>
      <c r="O102" s="5">
        <f>IF(N102="","",N102-L102)</f>
        <v/>
      </c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5">
        <f>IFERROR(XLOOKUP(B103,'PLAYER POOL'!A:A,'PLAYER POOL'!X:X),"")</f>
        <v/>
      </c>
      <c r="K103" s="5">
        <f>IFERROR(XLOOKUP(B103,'PLAYER POOL'!A:A,'PLAYER POOL'!Y:Y),"")</f>
        <v/>
      </c>
      <c r="L103" s="5">
        <f>IF(F103="Yes",K103*IF(G103="Yes",2,1),0)</f>
        <v/>
      </c>
      <c r="M103" s="8" t="n"/>
      <c r="N103" s="8" t="n"/>
      <c r="O103" s="5">
        <f>IF(N103="","",N103-L103)</f>
        <v/>
      </c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5">
        <f>IFERROR(XLOOKUP(B104,'PLAYER POOL'!A:A,'PLAYER POOL'!X:X),"")</f>
        <v/>
      </c>
      <c r="K104" s="5">
        <f>IFERROR(XLOOKUP(B104,'PLAYER POOL'!A:A,'PLAYER POOL'!Y:Y),"")</f>
        <v/>
      </c>
      <c r="L104" s="5">
        <f>IF(F104="Yes",K104*IF(G104="Yes",2,1),0)</f>
        <v/>
      </c>
      <c r="M104" s="8" t="n"/>
      <c r="N104" s="8" t="n"/>
      <c r="O104" s="5">
        <f>IF(N104="","",N104-L104)</f>
        <v/>
      </c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5">
        <f>IFERROR(XLOOKUP(B105,'PLAYER POOL'!A:A,'PLAYER POOL'!X:X),"")</f>
        <v/>
      </c>
      <c r="K105" s="5">
        <f>IFERROR(XLOOKUP(B105,'PLAYER POOL'!A:A,'PLAYER POOL'!Y:Y),"")</f>
        <v/>
      </c>
      <c r="L105" s="5">
        <f>IF(F105="Yes",K105*IF(G105="Yes",2,1),0)</f>
        <v/>
      </c>
      <c r="M105" s="8" t="n"/>
      <c r="N105" s="8" t="n"/>
      <c r="O105" s="5">
        <f>IF(N105="","",N105-L105)</f>
        <v/>
      </c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5">
        <f>IFERROR(XLOOKUP(B106,'PLAYER POOL'!A:A,'PLAYER POOL'!X:X),"")</f>
        <v/>
      </c>
      <c r="K106" s="5">
        <f>IFERROR(XLOOKUP(B106,'PLAYER POOL'!A:A,'PLAYER POOL'!Y:Y),"")</f>
        <v/>
      </c>
      <c r="L106" s="5">
        <f>IF(F106="Yes",K106*IF(G106="Yes",2,1),0)</f>
        <v/>
      </c>
      <c r="M106" s="8" t="n"/>
      <c r="N106" s="8" t="n"/>
      <c r="O106" s="5">
        <f>IF(N106="","",N106-L106)</f>
        <v/>
      </c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5">
        <f>IFERROR(XLOOKUP(B107,'PLAYER POOL'!A:A,'PLAYER POOL'!X:X),"")</f>
        <v/>
      </c>
      <c r="K107" s="5">
        <f>IFERROR(XLOOKUP(B107,'PLAYER POOL'!A:A,'PLAYER POOL'!Y:Y),"")</f>
        <v/>
      </c>
      <c r="L107" s="5">
        <f>IF(F107="Yes",K107*IF(G107="Yes",2,1),0)</f>
        <v/>
      </c>
      <c r="M107" s="8" t="n"/>
      <c r="N107" s="8" t="n"/>
      <c r="O107" s="5">
        <f>IF(N107="","",N107-L107)</f>
        <v/>
      </c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5">
        <f>IFERROR(XLOOKUP(B108,'PLAYER POOL'!A:A,'PLAYER POOL'!X:X),"")</f>
        <v/>
      </c>
      <c r="K108" s="5">
        <f>IFERROR(XLOOKUP(B108,'PLAYER POOL'!A:A,'PLAYER POOL'!Y:Y),"")</f>
        <v/>
      </c>
      <c r="L108" s="5">
        <f>IF(F108="Yes",K108*IF(G108="Yes",2,1),0)</f>
        <v/>
      </c>
      <c r="M108" s="8" t="n"/>
      <c r="N108" s="8" t="n"/>
      <c r="O108" s="5">
        <f>IF(N108="","",N108-L108)</f>
        <v/>
      </c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5">
        <f>IFERROR(XLOOKUP(B109,'PLAYER POOL'!A:A,'PLAYER POOL'!X:X),"")</f>
        <v/>
      </c>
      <c r="K109" s="5">
        <f>IFERROR(XLOOKUP(B109,'PLAYER POOL'!A:A,'PLAYER POOL'!Y:Y),"")</f>
        <v/>
      </c>
      <c r="L109" s="5">
        <f>IF(F109="Yes",K109*IF(G109="Yes",2,1),0)</f>
        <v/>
      </c>
      <c r="M109" s="8" t="n"/>
      <c r="N109" s="8" t="n"/>
      <c r="O109" s="5">
        <f>IF(N109="","",N109-L109)</f>
        <v/>
      </c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5">
        <f>IFERROR(XLOOKUP(B110,'PLAYER POOL'!A:A,'PLAYER POOL'!X:X),"")</f>
        <v/>
      </c>
      <c r="K110" s="5">
        <f>IFERROR(XLOOKUP(B110,'PLAYER POOL'!A:A,'PLAYER POOL'!Y:Y),"")</f>
        <v/>
      </c>
      <c r="L110" s="5">
        <f>IF(F110="Yes",K110*IF(G110="Yes",2,1),0)</f>
        <v/>
      </c>
      <c r="M110" s="8" t="n"/>
      <c r="N110" s="8" t="n"/>
      <c r="O110" s="5">
        <f>IF(N110="","",N110-L110)</f>
        <v/>
      </c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5">
        <f>IFERROR(XLOOKUP(B111,'PLAYER POOL'!A:A,'PLAYER POOL'!X:X),"")</f>
        <v/>
      </c>
      <c r="K111" s="5">
        <f>IFERROR(XLOOKUP(B111,'PLAYER POOL'!A:A,'PLAYER POOL'!Y:Y),"")</f>
        <v/>
      </c>
      <c r="L111" s="5">
        <f>IF(F111="Yes",K111*IF(G111="Yes",2,1),0)</f>
        <v/>
      </c>
      <c r="M111" s="8" t="n"/>
      <c r="N111" s="8" t="n"/>
      <c r="O111" s="5">
        <f>IF(N111="","",N111-L111)</f>
        <v/>
      </c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5">
        <f>IFERROR(XLOOKUP(B112,'PLAYER POOL'!A:A,'PLAYER POOL'!X:X),"")</f>
        <v/>
      </c>
      <c r="K112" s="5">
        <f>IFERROR(XLOOKUP(B112,'PLAYER POOL'!A:A,'PLAYER POOL'!Y:Y),"")</f>
        <v/>
      </c>
      <c r="L112" s="5">
        <f>IF(F112="Yes",K112*IF(G112="Yes",2,1),0)</f>
        <v/>
      </c>
      <c r="M112" s="8" t="n"/>
      <c r="N112" s="8" t="n"/>
      <c r="O112" s="5">
        <f>IF(N112="","",N112-L112)</f>
        <v/>
      </c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5">
        <f>IFERROR(XLOOKUP(B113,'PLAYER POOL'!A:A,'PLAYER POOL'!X:X),"")</f>
        <v/>
      </c>
      <c r="K113" s="5">
        <f>IFERROR(XLOOKUP(B113,'PLAYER POOL'!A:A,'PLAYER POOL'!Y:Y),"")</f>
        <v/>
      </c>
      <c r="L113" s="5">
        <f>IF(F113="Yes",K113*IF(G113="Yes",2,1),0)</f>
        <v/>
      </c>
      <c r="M113" s="8" t="n"/>
      <c r="N113" s="8" t="n"/>
      <c r="O113" s="5">
        <f>IF(N113="","",N113-L113)</f>
        <v/>
      </c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5">
        <f>IFERROR(XLOOKUP(B114,'PLAYER POOL'!A:A,'PLAYER POOL'!X:X),"")</f>
        <v/>
      </c>
      <c r="K114" s="5">
        <f>IFERROR(XLOOKUP(B114,'PLAYER POOL'!A:A,'PLAYER POOL'!Y:Y),"")</f>
        <v/>
      </c>
      <c r="L114" s="5">
        <f>IF(F114="Yes",K114*IF(G114="Yes",2,1),0)</f>
        <v/>
      </c>
      <c r="M114" s="8" t="n"/>
      <c r="N114" s="8" t="n"/>
      <c r="O114" s="5">
        <f>IF(N114="","",N114-L114)</f>
        <v/>
      </c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5">
        <f>IFERROR(XLOOKUP(B115,'PLAYER POOL'!A:A,'PLAYER POOL'!X:X),"")</f>
        <v/>
      </c>
      <c r="K115" s="5">
        <f>IFERROR(XLOOKUP(B115,'PLAYER POOL'!A:A,'PLAYER POOL'!Y:Y),"")</f>
        <v/>
      </c>
      <c r="L115" s="5">
        <f>IF(F115="Yes",K115*IF(G115="Yes",2,1),0)</f>
        <v/>
      </c>
      <c r="M115" s="8" t="n"/>
      <c r="N115" s="8" t="n"/>
      <c r="O115" s="5">
        <f>IF(N115="","",N115-L115)</f>
        <v/>
      </c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5">
        <f>IFERROR(XLOOKUP(B116,'PLAYER POOL'!A:A,'PLAYER POOL'!X:X),"")</f>
        <v/>
      </c>
      <c r="K116" s="5">
        <f>IFERROR(XLOOKUP(B116,'PLAYER POOL'!A:A,'PLAYER POOL'!Y:Y),"")</f>
        <v/>
      </c>
      <c r="L116" s="5">
        <f>IF(F116="Yes",K116*IF(G116="Yes",2,1),0)</f>
        <v/>
      </c>
      <c r="M116" s="8" t="n"/>
      <c r="N116" s="8" t="n"/>
      <c r="O116" s="5">
        <f>IF(N116="","",N116-L116)</f>
        <v/>
      </c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5">
        <f>IFERROR(XLOOKUP(B117,'PLAYER POOL'!A:A,'PLAYER POOL'!X:X),"")</f>
        <v/>
      </c>
      <c r="K117" s="5">
        <f>IFERROR(XLOOKUP(B117,'PLAYER POOL'!A:A,'PLAYER POOL'!Y:Y),"")</f>
        <v/>
      </c>
      <c r="L117" s="5">
        <f>IF(F117="Yes",K117*IF(G117="Yes",2,1),0)</f>
        <v/>
      </c>
      <c r="M117" s="8" t="n"/>
      <c r="N117" s="8" t="n"/>
      <c r="O117" s="5">
        <f>IF(N117="","",N117-L117)</f>
        <v/>
      </c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5">
        <f>IFERROR(XLOOKUP(B118,'PLAYER POOL'!A:A,'PLAYER POOL'!X:X),"")</f>
        <v/>
      </c>
      <c r="K118" s="5">
        <f>IFERROR(XLOOKUP(B118,'PLAYER POOL'!A:A,'PLAYER POOL'!Y:Y),"")</f>
        <v/>
      </c>
      <c r="L118" s="5">
        <f>IF(F118="Yes",K118*IF(G118="Yes",2,1),0)</f>
        <v/>
      </c>
      <c r="M118" s="8" t="n"/>
      <c r="N118" s="8" t="n"/>
      <c r="O118" s="5">
        <f>IF(N118="","",N118-L118)</f>
        <v/>
      </c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5">
        <f>IFERROR(XLOOKUP(B119,'PLAYER POOL'!A:A,'PLAYER POOL'!X:X),"")</f>
        <v/>
      </c>
      <c r="K119" s="5">
        <f>IFERROR(XLOOKUP(B119,'PLAYER POOL'!A:A,'PLAYER POOL'!Y:Y),"")</f>
        <v/>
      </c>
      <c r="L119" s="5">
        <f>IF(F119="Yes",K119*IF(G119="Yes",2,1),0)</f>
        <v/>
      </c>
      <c r="M119" s="8" t="n"/>
      <c r="N119" s="8" t="n"/>
      <c r="O119" s="5">
        <f>IF(N119="","",N119-L119)</f>
        <v/>
      </c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5">
        <f>IFERROR(XLOOKUP(B120,'PLAYER POOL'!A:A,'PLAYER POOL'!X:X),"")</f>
        <v/>
      </c>
      <c r="K120" s="5">
        <f>IFERROR(XLOOKUP(B120,'PLAYER POOL'!A:A,'PLAYER POOL'!Y:Y),"")</f>
        <v/>
      </c>
      <c r="L120" s="5">
        <f>IF(F120="Yes",K120*IF(G120="Yes",2,1),0)</f>
        <v/>
      </c>
      <c r="M120" s="8" t="n"/>
      <c r="N120" s="8" t="n"/>
      <c r="O120" s="5">
        <f>IF(N120="","",N120-L120)</f>
        <v/>
      </c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5">
        <f>IFERROR(XLOOKUP(B121,'PLAYER POOL'!A:A,'PLAYER POOL'!X:X),"")</f>
        <v/>
      </c>
      <c r="K121" s="5">
        <f>IFERROR(XLOOKUP(B121,'PLAYER POOL'!A:A,'PLAYER POOL'!Y:Y),"")</f>
        <v/>
      </c>
      <c r="L121" s="5">
        <f>IF(F121="Yes",K121*IF(G121="Yes",2,1),0)</f>
        <v/>
      </c>
      <c r="M121" s="8" t="n"/>
      <c r="N121" s="8" t="n"/>
      <c r="O121" s="5">
        <f>IF(N121="","",N121-L121)</f>
        <v/>
      </c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5">
        <f>IFERROR(XLOOKUP(B122,'PLAYER POOL'!A:A,'PLAYER POOL'!X:X),"")</f>
        <v/>
      </c>
      <c r="K122" s="5">
        <f>IFERROR(XLOOKUP(B122,'PLAYER POOL'!A:A,'PLAYER POOL'!Y:Y),"")</f>
        <v/>
      </c>
      <c r="L122" s="5">
        <f>IF(F122="Yes",K122*IF(G122="Yes",2,1),0)</f>
        <v/>
      </c>
      <c r="M122" s="8" t="n"/>
      <c r="N122" s="8" t="n"/>
      <c r="O122" s="5">
        <f>IF(N122="","",N122-L122)</f>
        <v/>
      </c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5">
        <f>IFERROR(XLOOKUP(B123,'PLAYER POOL'!A:A,'PLAYER POOL'!X:X),"")</f>
        <v/>
      </c>
      <c r="K123" s="5">
        <f>IFERROR(XLOOKUP(B123,'PLAYER POOL'!A:A,'PLAYER POOL'!Y:Y),"")</f>
        <v/>
      </c>
      <c r="L123" s="5">
        <f>IF(F123="Yes",K123*IF(G123="Yes",2,1),0)</f>
        <v/>
      </c>
      <c r="M123" s="8" t="n"/>
      <c r="N123" s="8" t="n"/>
      <c r="O123" s="5">
        <f>IF(N123="","",N123-L123)</f>
        <v/>
      </c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5">
        <f>IFERROR(XLOOKUP(B124,'PLAYER POOL'!A:A,'PLAYER POOL'!X:X),"")</f>
        <v/>
      </c>
      <c r="K124" s="5">
        <f>IFERROR(XLOOKUP(B124,'PLAYER POOL'!A:A,'PLAYER POOL'!Y:Y),"")</f>
        <v/>
      </c>
      <c r="L124" s="5">
        <f>IF(F124="Yes",K124*IF(G124="Yes",2,1),0)</f>
        <v/>
      </c>
      <c r="M124" s="8" t="n"/>
      <c r="N124" s="8" t="n"/>
      <c r="O124" s="5">
        <f>IF(N124="","",N124-L124)</f>
        <v/>
      </c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5">
        <f>IFERROR(XLOOKUP(B125,'PLAYER POOL'!A:A,'PLAYER POOL'!X:X),"")</f>
        <v/>
      </c>
      <c r="K125" s="5">
        <f>IFERROR(XLOOKUP(B125,'PLAYER POOL'!A:A,'PLAYER POOL'!Y:Y),"")</f>
        <v/>
      </c>
      <c r="L125" s="5">
        <f>IF(F125="Yes",K125*IF(G125="Yes",2,1),0)</f>
        <v/>
      </c>
      <c r="M125" s="8" t="n"/>
      <c r="N125" s="8" t="n"/>
      <c r="O125" s="5">
        <f>IF(N125="","",N125-L125)</f>
        <v/>
      </c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5">
        <f>IFERROR(XLOOKUP(B126,'PLAYER POOL'!A:A,'PLAYER POOL'!X:X),"")</f>
        <v/>
      </c>
      <c r="K126" s="5">
        <f>IFERROR(XLOOKUP(B126,'PLAYER POOL'!A:A,'PLAYER POOL'!Y:Y),"")</f>
        <v/>
      </c>
      <c r="L126" s="5">
        <f>IF(F126="Yes",K126*IF(G126="Yes",2,1),0)</f>
        <v/>
      </c>
      <c r="M126" s="8" t="n"/>
      <c r="N126" s="8" t="n"/>
      <c r="O126" s="5">
        <f>IF(N126="","",N126-L126)</f>
        <v/>
      </c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5">
        <f>IFERROR(XLOOKUP(B127,'PLAYER POOL'!A:A,'PLAYER POOL'!X:X),"")</f>
        <v/>
      </c>
      <c r="K127" s="5">
        <f>IFERROR(XLOOKUP(B127,'PLAYER POOL'!A:A,'PLAYER POOL'!Y:Y),"")</f>
        <v/>
      </c>
      <c r="L127" s="5">
        <f>IF(F127="Yes",K127*IF(G127="Yes",2,1),0)</f>
        <v/>
      </c>
      <c r="M127" s="8" t="n"/>
      <c r="N127" s="8" t="n"/>
      <c r="O127" s="5">
        <f>IF(N127="","",N127-L127)</f>
        <v/>
      </c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5">
        <f>IFERROR(XLOOKUP(B128,'PLAYER POOL'!A:A,'PLAYER POOL'!X:X),"")</f>
        <v/>
      </c>
      <c r="K128" s="5">
        <f>IFERROR(XLOOKUP(B128,'PLAYER POOL'!A:A,'PLAYER POOL'!Y:Y),"")</f>
        <v/>
      </c>
      <c r="L128" s="5">
        <f>IF(F128="Yes",K128*IF(G128="Yes",2,1),0)</f>
        <v/>
      </c>
      <c r="M128" s="8" t="n"/>
      <c r="N128" s="8" t="n"/>
      <c r="O128" s="5">
        <f>IF(N128="","",N128-L128)</f>
        <v/>
      </c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5">
        <f>IFERROR(XLOOKUP(B129,'PLAYER POOL'!A:A,'PLAYER POOL'!X:X),"")</f>
        <v/>
      </c>
      <c r="K129" s="5">
        <f>IFERROR(XLOOKUP(B129,'PLAYER POOL'!A:A,'PLAYER POOL'!Y:Y),"")</f>
        <v/>
      </c>
      <c r="L129" s="5">
        <f>IF(F129="Yes",K129*IF(G129="Yes",2,1),0)</f>
        <v/>
      </c>
      <c r="M129" s="8" t="n"/>
      <c r="N129" s="8" t="n"/>
      <c r="O129" s="5">
        <f>IF(N129="","",N129-L129)</f>
        <v/>
      </c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5">
        <f>IFERROR(XLOOKUP(B130,'PLAYER POOL'!A:A,'PLAYER POOL'!X:X),"")</f>
        <v/>
      </c>
      <c r="K130" s="5">
        <f>IFERROR(XLOOKUP(B130,'PLAYER POOL'!A:A,'PLAYER POOL'!Y:Y),"")</f>
        <v/>
      </c>
      <c r="L130" s="5">
        <f>IF(F130="Yes",K130*IF(G130="Yes",2,1),0)</f>
        <v/>
      </c>
      <c r="M130" s="8" t="n"/>
      <c r="N130" s="8" t="n"/>
      <c r="O130" s="5">
        <f>IF(N130="","",N130-L130)</f>
        <v/>
      </c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5">
        <f>IFERROR(XLOOKUP(B131,'PLAYER POOL'!A:A,'PLAYER POOL'!X:X),"")</f>
        <v/>
      </c>
      <c r="K131" s="5">
        <f>IFERROR(XLOOKUP(B131,'PLAYER POOL'!A:A,'PLAYER POOL'!Y:Y),"")</f>
        <v/>
      </c>
      <c r="L131" s="5">
        <f>IF(F131="Yes",K131*IF(G131="Yes",2,1),0)</f>
        <v/>
      </c>
      <c r="M131" s="8" t="n"/>
      <c r="N131" s="8" t="n"/>
      <c r="O131" s="5">
        <f>IF(N131="","",N131-L131)</f>
        <v/>
      </c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5">
        <f>IFERROR(XLOOKUP(B132,'PLAYER POOL'!A:A,'PLAYER POOL'!X:X),"")</f>
        <v/>
      </c>
      <c r="K132" s="5">
        <f>IFERROR(XLOOKUP(B132,'PLAYER POOL'!A:A,'PLAYER POOL'!Y:Y),"")</f>
        <v/>
      </c>
      <c r="L132" s="5">
        <f>IF(F132="Yes",K132*IF(G132="Yes",2,1),0)</f>
        <v/>
      </c>
      <c r="M132" s="8" t="n"/>
      <c r="N132" s="8" t="n"/>
      <c r="O132" s="5">
        <f>IF(N132="","",N132-L132)</f>
        <v/>
      </c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5">
        <f>IFERROR(XLOOKUP(B133,'PLAYER POOL'!A:A,'PLAYER POOL'!X:X),"")</f>
        <v/>
      </c>
      <c r="K133" s="5">
        <f>IFERROR(XLOOKUP(B133,'PLAYER POOL'!A:A,'PLAYER POOL'!Y:Y),"")</f>
        <v/>
      </c>
      <c r="L133" s="5">
        <f>IF(F133="Yes",K133*IF(G133="Yes",2,1),0)</f>
        <v/>
      </c>
      <c r="M133" s="8" t="n"/>
      <c r="N133" s="8" t="n"/>
      <c r="O133" s="5">
        <f>IF(N133="","",N133-L133)</f>
        <v/>
      </c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5">
        <f>IFERROR(XLOOKUP(B134,'PLAYER POOL'!A:A,'PLAYER POOL'!X:X),"")</f>
        <v/>
      </c>
      <c r="K134" s="5">
        <f>IFERROR(XLOOKUP(B134,'PLAYER POOL'!A:A,'PLAYER POOL'!Y:Y),"")</f>
        <v/>
      </c>
      <c r="L134" s="5">
        <f>IF(F134="Yes",K134*IF(G134="Yes",2,1),0)</f>
        <v/>
      </c>
      <c r="M134" s="8" t="n"/>
      <c r="N134" s="8" t="n"/>
      <c r="O134" s="5">
        <f>IF(N134="","",N134-L134)</f>
        <v/>
      </c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5">
        <f>IFERROR(XLOOKUP(B135,'PLAYER POOL'!A:A,'PLAYER POOL'!X:X),"")</f>
        <v/>
      </c>
      <c r="K135" s="5">
        <f>IFERROR(XLOOKUP(B135,'PLAYER POOL'!A:A,'PLAYER POOL'!Y:Y),"")</f>
        <v/>
      </c>
      <c r="L135" s="5">
        <f>IF(F135="Yes",K135*IF(G135="Yes",2,1),0)</f>
        <v/>
      </c>
      <c r="M135" s="8" t="n"/>
      <c r="N135" s="8" t="n"/>
      <c r="O135" s="5">
        <f>IF(N135="","",N135-L135)</f>
        <v/>
      </c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5">
        <f>IFERROR(XLOOKUP(B136,'PLAYER POOL'!A:A,'PLAYER POOL'!X:X),"")</f>
        <v/>
      </c>
      <c r="K136" s="5">
        <f>IFERROR(XLOOKUP(B136,'PLAYER POOL'!A:A,'PLAYER POOL'!Y:Y),"")</f>
        <v/>
      </c>
      <c r="L136" s="5">
        <f>IF(F136="Yes",K136*IF(G136="Yes",2,1),0)</f>
        <v/>
      </c>
      <c r="M136" s="8" t="n"/>
      <c r="N136" s="8" t="n"/>
      <c r="O136" s="5">
        <f>IF(N136="","",N136-L136)</f>
        <v/>
      </c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5">
        <f>IFERROR(XLOOKUP(B137,'PLAYER POOL'!A:A,'PLAYER POOL'!X:X),"")</f>
        <v/>
      </c>
      <c r="K137" s="5">
        <f>IFERROR(XLOOKUP(B137,'PLAYER POOL'!A:A,'PLAYER POOL'!Y:Y),"")</f>
        <v/>
      </c>
      <c r="L137" s="5">
        <f>IF(F137="Yes",K137*IF(G137="Yes",2,1),0)</f>
        <v/>
      </c>
      <c r="M137" s="8" t="n"/>
      <c r="N137" s="8" t="n"/>
      <c r="O137" s="5">
        <f>IF(N137="","",N137-L137)</f>
        <v/>
      </c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5">
        <f>IFERROR(XLOOKUP(B138,'PLAYER POOL'!A:A,'PLAYER POOL'!X:X),"")</f>
        <v/>
      </c>
      <c r="K138" s="5">
        <f>IFERROR(XLOOKUP(B138,'PLAYER POOL'!A:A,'PLAYER POOL'!Y:Y),"")</f>
        <v/>
      </c>
      <c r="L138" s="5">
        <f>IF(F138="Yes",K138*IF(G138="Yes",2,1),0)</f>
        <v/>
      </c>
      <c r="M138" s="8" t="n"/>
      <c r="N138" s="8" t="n"/>
      <c r="O138" s="5">
        <f>IF(N138="","",N138-L138)</f>
        <v/>
      </c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5">
        <f>IFERROR(XLOOKUP(B139,'PLAYER POOL'!A:A,'PLAYER POOL'!X:X),"")</f>
        <v/>
      </c>
      <c r="K139" s="5">
        <f>IFERROR(XLOOKUP(B139,'PLAYER POOL'!A:A,'PLAYER POOL'!Y:Y),"")</f>
        <v/>
      </c>
      <c r="L139" s="5">
        <f>IF(F139="Yes",K139*IF(G139="Yes",2,1),0)</f>
        <v/>
      </c>
      <c r="M139" s="8" t="n"/>
      <c r="N139" s="8" t="n"/>
      <c r="O139" s="5">
        <f>IF(N139="","",N139-L139)</f>
        <v/>
      </c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5">
        <f>IFERROR(XLOOKUP(B140,'PLAYER POOL'!A:A,'PLAYER POOL'!X:X),"")</f>
        <v/>
      </c>
      <c r="K140" s="5">
        <f>IFERROR(XLOOKUP(B140,'PLAYER POOL'!A:A,'PLAYER POOL'!Y:Y),"")</f>
        <v/>
      </c>
      <c r="L140" s="5">
        <f>IF(F140="Yes",K140*IF(G140="Yes",2,1),0)</f>
        <v/>
      </c>
      <c r="M140" s="8" t="n"/>
      <c r="N140" s="8" t="n"/>
      <c r="O140" s="5">
        <f>IF(N140="","",N140-L140)</f>
        <v/>
      </c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5">
        <f>IFERROR(XLOOKUP(B141,'PLAYER POOL'!A:A,'PLAYER POOL'!X:X),"")</f>
        <v/>
      </c>
      <c r="K141" s="5">
        <f>IFERROR(XLOOKUP(B141,'PLAYER POOL'!A:A,'PLAYER POOL'!Y:Y),"")</f>
        <v/>
      </c>
      <c r="L141" s="5">
        <f>IF(F141="Yes",K141*IF(G141="Yes",2,1),0)</f>
        <v/>
      </c>
      <c r="M141" s="8" t="n"/>
      <c r="N141" s="8" t="n"/>
      <c r="O141" s="5">
        <f>IF(N141="","",N141-L141)</f>
        <v/>
      </c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5">
        <f>IFERROR(XLOOKUP(B142,'PLAYER POOL'!A:A,'PLAYER POOL'!X:X),"")</f>
        <v/>
      </c>
      <c r="K142" s="5">
        <f>IFERROR(XLOOKUP(B142,'PLAYER POOL'!A:A,'PLAYER POOL'!Y:Y),"")</f>
        <v/>
      </c>
      <c r="L142" s="5">
        <f>IF(F142="Yes",K142*IF(G142="Yes",2,1),0)</f>
        <v/>
      </c>
      <c r="M142" s="8" t="n"/>
      <c r="N142" s="8" t="n"/>
      <c r="O142" s="5">
        <f>IF(N142="","",N142-L142)</f>
        <v/>
      </c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5">
        <f>IFERROR(XLOOKUP(B143,'PLAYER POOL'!A:A,'PLAYER POOL'!X:X),"")</f>
        <v/>
      </c>
      <c r="K143" s="5">
        <f>IFERROR(XLOOKUP(B143,'PLAYER POOL'!A:A,'PLAYER POOL'!Y:Y),"")</f>
        <v/>
      </c>
      <c r="L143" s="5">
        <f>IF(F143="Yes",K143*IF(G143="Yes",2,1),0)</f>
        <v/>
      </c>
      <c r="M143" s="8" t="n"/>
      <c r="N143" s="8" t="n"/>
      <c r="O143" s="5">
        <f>IF(N143="","",N143-L143)</f>
        <v/>
      </c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5">
        <f>IFERROR(XLOOKUP(B144,'PLAYER POOL'!A:A,'PLAYER POOL'!X:X),"")</f>
        <v/>
      </c>
      <c r="K144" s="5">
        <f>IFERROR(XLOOKUP(B144,'PLAYER POOL'!A:A,'PLAYER POOL'!Y:Y),"")</f>
        <v/>
      </c>
      <c r="L144" s="5">
        <f>IF(F144="Yes",K144*IF(G144="Yes",2,1),0)</f>
        <v/>
      </c>
      <c r="M144" s="8" t="n"/>
      <c r="N144" s="8" t="n"/>
      <c r="O144" s="5">
        <f>IF(N144="","",N144-L144)</f>
        <v/>
      </c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5">
        <f>IFERROR(XLOOKUP(B145,'PLAYER POOL'!A:A,'PLAYER POOL'!X:X),"")</f>
        <v/>
      </c>
      <c r="K145" s="5">
        <f>IFERROR(XLOOKUP(B145,'PLAYER POOL'!A:A,'PLAYER POOL'!Y:Y),"")</f>
        <v/>
      </c>
      <c r="L145" s="5">
        <f>IF(F145="Yes",K145*IF(G145="Yes",2,1),0)</f>
        <v/>
      </c>
      <c r="M145" s="8" t="n"/>
      <c r="N145" s="8" t="n"/>
      <c r="O145" s="5">
        <f>IF(N145="","",N145-L145)</f>
        <v/>
      </c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5">
        <f>IFERROR(XLOOKUP(B146,'PLAYER POOL'!A:A,'PLAYER POOL'!X:X),"")</f>
        <v/>
      </c>
      <c r="K146" s="5">
        <f>IFERROR(XLOOKUP(B146,'PLAYER POOL'!A:A,'PLAYER POOL'!Y:Y),"")</f>
        <v/>
      </c>
      <c r="L146" s="5">
        <f>IF(F146="Yes",K146*IF(G146="Yes",2,1),0)</f>
        <v/>
      </c>
      <c r="M146" s="8" t="n"/>
      <c r="N146" s="8" t="n"/>
      <c r="O146" s="5">
        <f>IF(N146="","",N146-L146)</f>
        <v/>
      </c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5">
        <f>IFERROR(XLOOKUP(B147,'PLAYER POOL'!A:A,'PLAYER POOL'!X:X),"")</f>
        <v/>
      </c>
      <c r="K147" s="5">
        <f>IFERROR(XLOOKUP(B147,'PLAYER POOL'!A:A,'PLAYER POOL'!Y:Y),"")</f>
        <v/>
      </c>
      <c r="L147" s="5">
        <f>IF(F147="Yes",K147*IF(G147="Yes",2,1),0)</f>
        <v/>
      </c>
      <c r="M147" s="8" t="n"/>
      <c r="N147" s="8" t="n"/>
      <c r="O147" s="5">
        <f>IF(N147="","",N147-L147)</f>
        <v/>
      </c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5">
        <f>IFERROR(XLOOKUP(B148,'PLAYER POOL'!A:A,'PLAYER POOL'!X:X),"")</f>
        <v/>
      </c>
      <c r="K148" s="5">
        <f>IFERROR(XLOOKUP(B148,'PLAYER POOL'!A:A,'PLAYER POOL'!Y:Y),"")</f>
        <v/>
      </c>
      <c r="L148" s="5">
        <f>IF(F148="Yes",K148*IF(G148="Yes",2,1),0)</f>
        <v/>
      </c>
      <c r="M148" s="8" t="n"/>
      <c r="N148" s="8" t="n"/>
      <c r="O148" s="5">
        <f>IF(N148="","",N148-L148)</f>
        <v/>
      </c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5">
        <f>IFERROR(XLOOKUP(B149,'PLAYER POOL'!A:A,'PLAYER POOL'!X:X),"")</f>
        <v/>
      </c>
      <c r="K149" s="5">
        <f>IFERROR(XLOOKUP(B149,'PLAYER POOL'!A:A,'PLAYER POOL'!Y:Y),"")</f>
        <v/>
      </c>
      <c r="L149" s="5">
        <f>IF(F149="Yes",K149*IF(G149="Yes",2,1),0)</f>
        <v/>
      </c>
      <c r="M149" s="8" t="n"/>
      <c r="N149" s="8" t="n"/>
      <c r="O149" s="5">
        <f>IF(N149="","",N149-L149)</f>
        <v/>
      </c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5">
        <f>IFERROR(XLOOKUP(B150,'PLAYER POOL'!A:A,'PLAYER POOL'!X:X),"")</f>
        <v/>
      </c>
      <c r="K150" s="5">
        <f>IFERROR(XLOOKUP(B150,'PLAYER POOL'!A:A,'PLAYER POOL'!Y:Y),"")</f>
        <v/>
      </c>
      <c r="L150" s="5">
        <f>IF(F150="Yes",K150*IF(G150="Yes",2,1),0)</f>
        <v/>
      </c>
      <c r="M150" s="8" t="n"/>
      <c r="N150" s="8" t="n"/>
      <c r="O150" s="5">
        <f>IF(N150="","",N150-L150)</f>
        <v/>
      </c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5">
        <f>IFERROR(XLOOKUP(B151,'PLAYER POOL'!A:A,'PLAYER POOL'!X:X),"")</f>
        <v/>
      </c>
      <c r="K151" s="5">
        <f>IFERROR(XLOOKUP(B151,'PLAYER POOL'!A:A,'PLAYER POOL'!Y:Y),"")</f>
        <v/>
      </c>
      <c r="L151" s="5">
        <f>IF(F151="Yes",K151*IF(G151="Yes",2,1),0)</f>
        <v/>
      </c>
      <c r="M151" s="8" t="n"/>
      <c r="N151" s="8" t="n"/>
      <c r="O151" s="5">
        <f>IF(N151="","",N151-L151)</f>
        <v/>
      </c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5">
        <f>IFERROR(XLOOKUP(B152,'PLAYER POOL'!A:A,'PLAYER POOL'!X:X),"")</f>
        <v/>
      </c>
      <c r="K152" s="5">
        <f>IFERROR(XLOOKUP(B152,'PLAYER POOL'!A:A,'PLAYER POOL'!Y:Y),"")</f>
        <v/>
      </c>
      <c r="L152" s="5">
        <f>IF(F152="Yes",K152*IF(G152="Yes",2,1),0)</f>
        <v/>
      </c>
      <c r="M152" s="8" t="n"/>
      <c r="N152" s="8" t="n"/>
      <c r="O152" s="5">
        <f>IF(N152="","",N152-L152)</f>
        <v/>
      </c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5">
        <f>IFERROR(XLOOKUP(B153,'PLAYER POOL'!A:A,'PLAYER POOL'!X:X),"")</f>
        <v/>
      </c>
      <c r="K153" s="5">
        <f>IFERROR(XLOOKUP(B153,'PLAYER POOL'!A:A,'PLAYER POOL'!Y:Y),"")</f>
        <v/>
      </c>
      <c r="L153" s="5">
        <f>IF(F153="Yes",K153*IF(G153="Yes",2,1),0)</f>
        <v/>
      </c>
      <c r="M153" s="8" t="n"/>
      <c r="N153" s="8" t="n"/>
      <c r="O153" s="5">
        <f>IF(N153="","",N153-L153)</f>
        <v/>
      </c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5">
        <f>IFERROR(XLOOKUP(B154,'PLAYER POOL'!A:A,'PLAYER POOL'!X:X),"")</f>
        <v/>
      </c>
      <c r="K154" s="5">
        <f>IFERROR(XLOOKUP(B154,'PLAYER POOL'!A:A,'PLAYER POOL'!Y:Y),"")</f>
        <v/>
      </c>
      <c r="L154" s="5">
        <f>IF(F154="Yes",K154*IF(G154="Yes",2,1),0)</f>
        <v/>
      </c>
      <c r="M154" s="8" t="n"/>
      <c r="N154" s="8" t="n"/>
      <c r="O154" s="5">
        <f>IF(N154="","",N154-L154)</f>
        <v/>
      </c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5">
        <f>IFERROR(XLOOKUP(B155,'PLAYER POOL'!A:A,'PLAYER POOL'!X:X),"")</f>
        <v/>
      </c>
      <c r="K155" s="5">
        <f>IFERROR(XLOOKUP(B155,'PLAYER POOL'!A:A,'PLAYER POOL'!Y:Y),"")</f>
        <v/>
      </c>
      <c r="L155" s="5">
        <f>IF(F155="Yes",K155*IF(G155="Yes",2,1),0)</f>
        <v/>
      </c>
      <c r="M155" s="8" t="n"/>
      <c r="N155" s="8" t="n"/>
      <c r="O155" s="5">
        <f>IF(N155="","",N155-L155)</f>
        <v/>
      </c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5">
        <f>IFERROR(XLOOKUP(B156,'PLAYER POOL'!A:A,'PLAYER POOL'!X:X),"")</f>
        <v/>
      </c>
      <c r="K156" s="5">
        <f>IFERROR(XLOOKUP(B156,'PLAYER POOL'!A:A,'PLAYER POOL'!Y:Y),"")</f>
        <v/>
      </c>
      <c r="L156" s="5">
        <f>IF(F156="Yes",K156*IF(G156="Yes",2,1),0)</f>
        <v/>
      </c>
      <c r="M156" s="8" t="n"/>
      <c r="N156" s="8" t="n"/>
      <c r="O156" s="5">
        <f>IF(N156="","",N156-L156)</f>
        <v/>
      </c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5">
        <f>IFERROR(XLOOKUP(B157,'PLAYER POOL'!A:A,'PLAYER POOL'!X:X),"")</f>
        <v/>
      </c>
      <c r="K157" s="5">
        <f>IFERROR(XLOOKUP(B157,'PLAYER POOL'!A:A,'PLAYER POOL'!Y:Y),"")</f>
        <v/>
      </c>
      <c r="L157" s="5">
        <f>IF(F157="Yes",K157*IF(G157="Yes",2,1),0)</f>
        <v/>
      </c>
      <c r="M157" s="8" t="n"/>
      <c r="N157" s="8" t="n"/>
      <c r="O157" s="5">
        <f>IF(N157="","",N157-L157)</f>
        <v/>
      </c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5">
        <f>IFERROR(XLOOKUP(B158,'PLAYER POOL'!A:A,'PLAYER POOL'!X:X),"")</f>
        <v/>
      </c>
      <c r="K158" s="5">
        <f>IFERROR(XLOOKUP(B158,'PLAYER POOL'!A:A,'PLAYER POOL'!Y:Y),"")</f>
        <v/>
      </c>
      <c r="L158" s="5">
        <f>IF(F158="Yes",K158*IF(G158="Yes",2,1),0)</f>
        <v/>
      </c>
      <c r="M158" s="8" t="n"/>
      <c r="N158" s="8" t="n"/>
      <c r="O158" s="5">
        <f>IF(N158="","",N158-L158)</f>
        <v/>
      </c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5">
        <f>IFERROR(XLOOKUP(B159,'PLAYER POOL'!A:A,'PLAYER POOL'!X:X),"")</f>
        <v/>
      </c>
      <c r="K159" s="5">
        <f>IFERROR(XLOOKUP(B159,'PLAYER POOL'!A:A,'PLAYER POOL'!Y:Y),"")</f>
        <v/>
      </c>
      <c r="L159" s="5">
        <f>IF(F159="Yes",K159*IF(G159="Yes",2,1),0)</f>
        <v/>
      </c>
      <c r="M159" s="8" t="n"/>
      <c r="N159" s="8" t="n"/>
      <c r="O159" s="5">
        <f>IF(N159="","",N159-L159)</f>
        <v/>
      </c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5">
        <f>IFERROR(XLOOKUP(B160,'PLAYER POOL'!A:A,'PLAYER POOL'!X:X),"")</f>
        <v/>
      </c>
      <c r="K160" s="5">
        <f>IFERROR(XLOOKUP(B160,'PLAYER POOL'!A:A,'PLAYER POOL'!Y:Y),"")</f>
        <v/>
      </c>
      <c r="L160" s="5">
        <f>IF(F160="Yes",K160*IF(G160="Yes",2,1),0)</f>
        <v/>
      </c>
      <c r="M160" s="8" t="n"/>
      <c r="N160" s="8" t="n"/>
      <c r="O160" s="5">
        <f>IF(N160="","",N160-L160)</f>
        <v/>
      </c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5">
        <f>IFERROR(XLOOKUP(B161,'PLAYER POOL'!A:A,'PLAYER POOL'!X:X),"")</f>
        <v/>
      </c>
      <c r="K161" s="5">
        <f>IFERROR(XLOOKUP(B161,'PLAYER POOL'!A:A,'PLAYER POOL'!Y:Y),"")</f>
        <v/>
      </c>
      <c r="L161" s="5">
        <f>IF(F161="Yes",K161*IF(G161="Yes",2,1),0)</f>
        <v/>
      </c>
      <c r="M161" s="8" t="n"/>
      <c r="N161" s="8" t="n"/>
      <c r="O161" s="5">
        <f>IF(N161="","",N161-L161)</f>
        <v/>
      </c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5">
        <f>IFERROR(XLOOKUP(B162,'PLAYER POOL'!A:A,'PLAYER POOL'!X:X),"")</f>
        <v/>
      </c>
      <c r="K162" s="5">
        <f>IFERROR(XLOOKUP(B162,'PLAYER POOL'!A:A,'PLAYER POOL'!Y:Y),"")</f>
        <v/>
      </c>
      <c r="L162" s="5">
        <f>IF(F162="Yes",K162*IF(G162="Yes",2,1),0)</f>
        <v/>
      </c>
      <c r="M162" s="8" t="n"/>
      <c r="N162" s="8" t="n"/>
      <c r="O162" s="5">
        <f>IF(N162="","",N162-L162)</f>
        <v/>
      </c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5">
        <f>IFERROR(XLOOKUP(B163,'PLAYER POOL'!A:A,'PLAYER POOL'!X:X),"")</f>
        <v/>
      </c>
      <c r="K163" s="5">
        <f>IFERROR(XLOOKUP(B163,'PLAYER POOL'!A:A,'PLAYER POOL'!Y:Y),"")</f>
        <v/>
      </c>
      <c r="L163" s="5">
        <f>IF(F163="Yes",K163*IF(G163="Yes",2,1),0)</f>
        <v/>
      </c>
      <c r="M163" s="8" t="n"/>
      <c r="N163" s="8" t="n"/>
      <c r="O163" s="5">
        <f>IF(N163="","",N163-L163)</f>
        <v/>
      </c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5">
        <f>IFERROR(XLOOKUP(B164,'PLAYER POOL'!A:A,'PLAYER POOL'!X:X),"")</f>
        <v/>
      </c>
      <c r="K164" s="5">
        <f>IFERROR(XLOOKUP(B164,'PLAYER POOL'!A:A,'PLAYER POOL'!Y:Y),"")</f>
        <v/>
      </c>
      <c r="L164" s="5">
        <f>IF(F164="Yes",K164*IF(G164="Yes",2,1),0)</f>
        <v/>
      </c>
      <c r="M164" s="8" t="n"/>
      <c r="N164" s="8" t="n"/>
      <c r="O164" s="5">
        <f>IF(N164="","",N164-L164)</f>
        <v/>
      </c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5">
        <f>IFERROR(XLOOKUP(B165,'PLAYER POOL'!A:A,'PLAYER POOL'!X:X),"")</f>
        <v/>
      </c>
      <c r="K165" s="5">
        <f>IFERROR(XLOOKUP(B165,'PLAYER POOL'!A:A,'PLAYER POOL'!Y:Y),"")</f>
        <v/>
      </c>
      <c r="L165" s="5">
        <f>IF(F165="Yes",K165*IF(G165="Yes",2,1),0)</f>
        <v/>
      </c>
      <c r="M165" s="8" t="n"/>
      <c r="N165" s="8" t="n"/>
      <c r="O165" s="5">
        <f>IF(N165="","",N165-L165)</f>
        <v/>
      </c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5">
        <f>IFERROR(XLOOKUP(B166,'PLAYER POOL'!A:A,'PLAYER POOL'!X:X),"")</f>
        <v/>
      </c>
      <c r="K166" s="5">
        <f>IFERROR(XLOOKUP(B166,'PLAYER POOL'!A:A,'PLAYER POOL'!Y:Y),"")</f>
        <v/>
      </c>
      <c r="L166" s="5">
        <f>IF(F166="Yes",K166*IF(G166="Yes",2,1),0)</f>
        <v/>
      </c>
      <c r="M166" s="8" t="n"/>
      <c r="N166" s="8" t="n"/>
      <c r="O166" s="5">
        <f>IF(N166="","",N166-L166)</f>
        <v/>
      </c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5">
        <f>IFERROR(XLOOKUP(B167,'PLAYER POOL'!A:A,'PLAYER POOL'!X:X),"")</f>
        <v/>
      </c>
      <c r="K167" s="5">
        <f>IFERROR(XLOOKUP(B167,'PLAYER POOL'!A:A,'PLAYER POOL'!Y:Y),"")</f>
        <v/>
      </c>
      <c r="L167" s="5">
        <f>IF(F167="Yes",K167*IF(G167="Yes",2,1),0)</f>
        <v/>
      </c>
      <c r="M167" s="8" t="n"/>
      <c r="N167" s="8" t="n"/>
      <c r="O167" s="5">
        <f>IF(N167="","",N167-L167)</f>
        <v/>
      </c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5">
        <f>IFERROR(XLOOKUP(B168,'PLAYER POOL'!A:A,'PLAYER POOL'!X:X),"")</f>
        <v/>
      </c>
      <c r="K168" s="5">
        <f>IFERROR(XLOOKUP(B168,'PLAYER POOL'!A:A,'PLAYER POOL'!Y:Y),"")</f>
        <v/>
      </c>
      <c r="L168" s="5">
        <f>IF(F168="Yes",K168*IF(G168="Yes",2,1),0)</f>
        <v/>
      </c>
      <c r="M168" s="8" t="n"/>
      <c r="N168" s="8" t="n"/>
      <c r="O168" s="5">
        <f>IF(N168="","",N168-L168)</f>
        <v/>
      </c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5">
        <f>IFERROR(XLOOKUP(B169,'PLAYER POOL'!A:A,'PLAYER POOL'!X:X),"")</f>
        <v/>
      </c>
      <c r="K169" s="5">
        <f>IFERROR(XLOOKUP(B169,'PLAYER POOL'!A:A,'PLAYER POOL'!Y:Y),"")</f>
        <v/>
      </c>
      <c r="L169" s="5">
        <f>IF(F169="Yes",K169*IF(G169="Yes",2,1),0)</f>
        <v/>
      </c>
      <c r="M169" s="8" t="n"/>
      <c r="N169" s="8" t="n"/>
      <c r="O169" s="5">
        <f>IF(N169="","",N169-L169)</f>
        <v/>
      </c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5">
        <f>IFERROR(XLOOKUP(B170,'PLAYER POOL'!A:A,'PLAYER POOL'!X:X),"")</f>
        <v/>
      </c>
      <c r="K170" s="5">
        <f>IFERROR(XLOOKUP(B170,'PLAYER POOL'!A:A,'PLAYER POOL'!Y:Y),"")</f>
        <v/>
      </c>
      <c r="L170" s="5">
        <f>IF(F170="Yes",K170*IF(G170="Yes",2,1),0)</f>
        <v/>
      </c>
      <c r="M170" s="8" t="n"/>
      <c r="N170" s="8" t="n"/>
      <c r="O170" s="5">
        <f>IF(N170="","",N170-L170)</f>
        <v/>
      </c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5">
        <f>IFERROR(XLOOKUP(B171,'PLAYER POOL'!A:A,'PLAYER POOL'!X:X),"")</f>
        <v/>
      </c>
      <c r="K171" s="5">
        <f>IFERROR(XLOOKUP(B171,'PLAYER POOL'!A:A,'PLAYER POOL'!Y:Y),"")</f>
        <v/>
      </c>
      <c r="L171" s="5">
        <f>IF(F171="Yes",K171*IF(G171="Yes",2,1),0)</f>
        <v/>
      </c>
      <c r="M171" s="8" t="n"/>
      <c r="N171" s="8" t="n"/>
      <c r="O171" s="5">
        <f>IF(N171="","",N171-L171)</f>
        <v/>
      </c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5">
        <f>IFERROR(XLOOKUP(B172,'PLAYER POOL'!A:A,'PLAYER POOL'!X:X),"")</f>
        <v/>
      </c>
      <c r="K172" s="5">
        <f>IFERROR(XLOOKUP(B172,'PLAYER POOL'!A:A,'PLAYER POOL'!Y:Y),"")</f>
        <v/>
      </c>
      <c r="L172" s="5">
        <f>IF(F172="Yes",K172*IF(G172="Yes",2,1),0)</f>
        <v/>
      </c>
      <c r="M172" s="8" t="n"/>
      <c r="N172" s="8" t="n"/>
      <c r="O172" s="5">
        <f>IF(N172="","",N172-L172)</f>
        <v/>
      </c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5">
        <f>IFERROR(XLOOKUP(B173,'PLAYER POOL'!A:A,'PLAYER POOL'!X:X),"")</f>
        <v/>
      </c>
      <c r="K173" s="5">
        <f>IFERROR(XLOOKUP(B173,'PLAYER POOL'!A:A,'PLAYER POOL'!Y:Y),"")</f>
        <v/>
      </c>
      <c r="L173" s="5">
        <f>IF(F173="Yes",K173*IF(G173="Yes",2,1),0)</f>
        <v/>
      </c>
      <c r="M173" s="8" t="n"/>
      <c r="N173" s="8" t="n"/>
      <c r="O173" s="5">
        <f>IF(N173="","",N173-L173)</f>
        <v/>
      </c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5">
        <f>IFERROR(XLOOKUP(B174,'PLAYER POOL'!A:A,'PLAYER POOL'!X:X),"")</f>
        <v/>
      </c>
      <c r="K174" s="5">
        <f>IFERROR(XLOOKUP(B174,'PLAYER POOL'!A:A,'PLAYER POOL'!Y:Y),"")</f>
        <v/>
      </c>
      <c r="L174" s="5">
        <f>IF(F174="Yes",K174*IF(G174="Yes",2,1),0)</f>
        <v/>
      </c>
      <c r="M174" s="8" t="n"/>
      <c r="N174" s="8" t="n"/>
      <c r="O174" s="5">
        <f>IF(N174="","",N174-L174)</f>
        <v/>
      </c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5">
        <f>IFERROR(XLOOKUP(B175,'PLAYER POOL'!A:A,'PLAYER POOL'!X:X),"")</f>
        <v/>
      </c>
      <c r="K175" s="5">
        <f>IFERROR(XLOOKUP(B175,'PLAYER POOL'!A:A,'PLAYER POOL'!Y:Y),"")</f>
        <v/>
      </c>
      <c r="L175" s="5">
        <f>IF(F175="Yes",K175*IF(G175="Yes",2,1),0)</f>
        <v/>
      </c>
      <c r="M175" s="8" t="n"/>
      <c r="N175" s="8" t="n"/>
      <c r="O175" s="5">
        <f>IF(N175="","",N175-L175)</f>
        <v/>
      </c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5">
        <f>IFERROR(XLOOKUP(B176,'PLAYER POOL'!A:A,'PLAYER POOL'!X:X),"")</f>
        <v/>
      </c>
      <c r="K176" s="5">
        <f>IFERROR(XLOOKUP(B176,'PLAYER POOL'!A:A,'PLAYER POOL'!Y:Y),"")</f>
        <v/>
      </c>
      <c r="L176" s="5">
        <f>IF(F176="Yes",K176*IF(G176="Yes",2,1),0)</f>
        <v/>
      </c>
      <c r="M176" s="8" t="n"/>
      <c r="N176" s="8" t="n"/>
      <c r="O176" s="5">
        <f>IF(N176="","",N176-L176)</f>
        <v/>
      </c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5">
        <f>IFERROR(XLOOKUP(B177,'PLAYER POOL'!A:A,'PLAYER POOL'!X:X),"")</f>
        <v/>
      </c>
      <c r="K177" s="5">
        <f>IFERROR(XLOOKUP(B177,'PLAYER POOL'!A:A,'PLAYER POOL'!Y:Y),"")</f>
        <v/>
      </c>
      <c r="L177" s="5">
        <f>IF(F177="Yes",K177*IF(G177="Yes",2,1),0)</f>
        <v/>
      </c>
      <c r="M177" s="8" t="n"/>
      <c r="N177" s="8" t="n"/>
      <c r="O177" s="5">
        <f>IF(N177="","",N177-L177)</f>
        <v/>
      </c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5">
        <f>IFERROR(XLOOKUP(B178,'PLAYER POOL'!A:A,'PLAYER POOL'!X:X),"")</f>
        <v/>
      </c>
      <c r="K178" s="5">
        <f>IFERROR(XLOOKUP(B178,'PLAYER POOL'!A:A,'PLAYER POOL'!Y:Y),"")</f>
        <v/>
      </c>
      <c r="L178" s="5">
        <f>IF(F178="Yes",K178*IF(G178="Yes",2,1),0)</f>
        <v/>
      </c>
      <c r="M178" s="8" t="n"/>
      <c r="N178" s="8" t="n"/>
      <c r="O178" s="5">
        <f>IF(N178="","",N178-L178)</f>
        <v/>
      </c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5">
        <f>IFERROR(XLOOKUP(B179,'PLAYER POOL'!A:A,'PLAYER POOL'!X:X),"")</f>
        <v/>
      </c>
      <c r="K179" s="5">
        <f>IFERROR(XLOOKUP(B179,'PLAYER POOL'!A:A,'PLAYER POOL'!Y:Y),"")</f>
        <v/>
      </c>
      <c r="L179" s="5">
        <f>IF(F179="Yes",K179*IF(G179="Yes",2,1),0)</f>
        <v/>
      </c>
      <c r="M179" s="8" t="n"/>
      <c r="N179" s="8" t="n"/>
      <c r="O179" s="5">
        <f>IF(N179="","",N179-L179)</f>
        <v/>
      </c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5">
        <f>IFERROR(XLOOKUP(B180,'PLAYER POOL'!A:A,'PLAYER POOL'!X:X),"")</f>
        <v/>
      </c>
      <c r="K180" s="5">
        <f>IFERROR(XLOOKUP(B180,'PLAYER POOL'!A:A,'PLAYER POOL'!Y:Y),"")</f>
        <v/>
      </c>
      <c r="L180" s="5">
        <f>IF(F180="Yes",K180*IF(G180="Yes",2,1),0)</f>
        <v/>
      </c>
      <c r="M180" s="8" t="n"/>
      <c r="N180" s="8" t="n"/>
      <c r="O180" s="5">
        <f>IF(N180="","",N180-L180)</f>
        <v/>
      </c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5">
        <f>IFERROR(XLOOKUP(B181,'PLAYER POOL'!A:A,'PLAYER POOL'!X:X),"")</f>
        <v/>
      </c>
      <c r="K181" s="5">
        <f>IFERROR(XLOOKUP(B181,'PLAYER POOL'!A:A,'PLAYER POOL'!Y:Y),"")</f>
        <v/>
      </c>
      <c r="L181" s="5">
        <f>IF(F181="Yes",K181*IF(G181="Yes",2,1),0)</f>
        <v/>
      </c>
      <c r="M181" s="8" t="n"/>
      <c r="N181" s="8" t="n"/>
      <c r="O181" s="5">
        <f>IF(N181="","",N181-L181)</f>
        <v/>
      </c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5">
        <f>IFERROR(XLOOKUP(B182,'PLAYER POOL'!A:A,'PLAYER POOL'!X:X),"")</f>
        <v/>
      </c>
      <c r="K182" s="5">
        <f>IFERROR(XLOOKUP(B182,'PLAYER POOL'!A:A,'PLAYER POOL'!Y:Y),"")</f>
        <v/>
      </c>
      <c r="L182" s="5">
        <f>IF(F182="Yes",K182*IF(G182="Yes",2,1),0)</f>
        <v/>
      </c>
      <c r="M182" s="8" t="n"/>
      <c r="N182" s="8" t="n"/>
      <c r="O182" s="5">
        <f>IF(N182="","",N182-L182)</f>
        <v/>
      </c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5">
        <f>IFERROR(XLOOKUP(B183,'PLAYER POOL'!A:A,'PLAYER POOL'!X:X),"")</f>
        <v/>
      </c>
      <c r="K183" s="5">
        <f>IFERROR(XLOOKUP(B183,'PLAYER POOL'!A:A,'PLAYER POOL'!Y:Y),"")</f>
        <v/>
      </c>
      <c r="L183" s="5">
        <f>IF(F183="Yes",K183*IF(G183="Yes",2,1),0)</f>
        <v/>
      </c>
      <c r="M183" s="8" t="n"/>
      <c r="N183" s="8" t="n"/>
      <c r="O183" s="5">
        <f>IF(N183="","",N183-L183)</f>
        <v/>
      </c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5">
        <f>IFERROR(XLOOKUP(B184,'PLAYER POOL'!A:A,'PLAYER POOL'!X:X),"")</f>
        <v/>
      </c>
      <c r="K184" s="5">
        <f>IFERROR(XLOOKUP(B184,'PLAYER POOL'!A:A,'PLAYER POOL'!Y:Y),"")</f>
        <v/>
      </c>
      <c r="L184" s="5">
        <f>IF(F184="Yes",K184*IF(G184="Yes",2,1),0)</f>
        <v/>
      </c>
      <c r="M184" s="8" t="n"/>
      <c r="N184" s="8" t="n"/>
      <c r="O184" s="5">
        <f>IF(N184="","",N184-L184)</f>
        <v/>
      </c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5">
        <f>IFERROR(XLOOKUP(B185,'PLAYER POOL'!A:A,'PLAYER POOL'!X:X),"")</f>
        <v/>
      </c>
      <c r="K185" s="5">
        <f>IFERROR(XLOOKUP(B185,'PLAYER POOL'!A:A,'PLAYER POOL'!Y:Y),"")</f>
        <v/>
      </c>
      <c r="L185" s="5">
        <f>IF(F185="Yes",K185*IF(G185="Yes",2,1),0)</f>
        <v/>
      </c>
      <c r="M185" s="8" t="n"/>
      <c r="N185" s="8" t="n"/>
      <c r="O185" s="5">
        <f>IF(N185="","",N185-L185)</f>
        <v/>
      </c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5">
        <f>IFERROR(XLOOKUP(B186,'PLAYER POOL'!A:A,'PLAYER POOL'!X:X),"")</f>
        <v/>
      </c>
      <c r="K186" s="5">
        <f>IFERROR(XLOOKUP(B186,'PLAYER POOL'!A:A,'PLAYER POOL'!Y:Y),"")</f>
        <v/>
      </c>
      <c r="L186" s="5">
        <f>IF(F186="Yes",K186*IF(G186="Yes",2,1),0)</f>
        <v/>
      </c>
      <c r="M186" s="8" t="n"/>
      <c r="N186" s="8" t="n"/>
      <c r="O186" s="5">
        <f>IF(N186="","",N186-L186)</f>
        <v/>
      </c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5">
        <f>IFERROR(XLOOKUP(B187,'PLAYER POOL'!A:A,'PLAYER POOL'!X:X),"")</f>
        <v/>
      </c>
      <c r="K187" s="5">
        <f>IFERROR(XLOOKUP(B187,'PLAYER POOL'!A:A,'PLAYER POOL'!Y:Y),"")</f>
        <v/>
      </c>
      <c r="L187" s="5">
        <f>IF(F187="Yes",K187*IF(G187="Yes",2,1),0)</f>
        <v/>
      </c>
      <c r="M187" s="8" t="n"/>
      <c r="N187" s="8" t="n"/>
      <c r="O187" s="5">
        <f>IF(N187="","",N187-L187)</f>
        <v/>
      </c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5">
        <f>IFERROR(XLOOKUP(B188,'PLAYER POOL'!A:A,'PLAYER POOL'!X:X),"")</f>
        <v/>
      </c>
      <c r="K188" s="5">
        <f>IFERROR(XLOOKUP(B188,'PLAYER POOL'!A:A,'PLAYER POOL'!Y:Y),"")</f>
        <v/>
      </c>
      <c r="L188" s="5">
        <f>IF(F188="Yes",K188*IF(G188="Yes",2,1),0)</f>
        <v/>
      </c>
      <c r="M188" s="8" t="n"/>
      <c r="N188" s="8" t="n"/>
      <c r="O188" s="5">
        <f>IF(N188="","",N188-L188)</f>
        <v/>
      </c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5">
        <f>IFERROR(XLOOKUP(B189,'PLAYER POOL'!A:A,'PLAYER POOL'!X:X),"")</f>
        <v/>
      </c>
      <c r="K189" s="5">
        <f>IFERROR(XLOOKUP(B189,'PLAYER POOL'!A:A,'PLAYER POOL'!Y:Y),"")</f>
        <v/>
      </c>
      <c r="L189" s="5">
        <f>IF(F189="Yes",K189*IF(G189="Yes",2,1),0)</f>
        <v/>
      </c>
      <c r="M189" s="8" t="n"/>
      <c r="N189" s="8" t="n"/>
      <c r="O189" s="5">
        <f>IF(N189="","",N189-L189)</f>
        <v/>
      </c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5">
        <f>IFERROR(XLOOKUP(B190,'PLAYER POOL'!A:A,'PLAYER POOL'!X:X),"")</f>
        <v/>
      </c>
      <c r="K190" s="5">
        <f>IFERROR(XLOOKUP(B190,'PLAYER POOL'!A:A,'PLAYER POOL'!Y:Y),"")</f>
        <v/>
      </c>
      <c r="L190" s="5">
        <f>IF(F190="Yes",K190*IF(G190="Yes",2,1),0)</f>
        <v/>
      </c>
      <c r="M190" s="8" t="n"/>
      <c r="N190" s="8" t="n"/>
      <c r="O190" s="5">
        <f>IF(N190="","",N190-L190)</f>
        <v/>
      </c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5">
        <f>IFERROR(XLOOKUP(B191,'PLAYER POOL'!A:A,'PLAYER POOL'!X:X),"")</f>
        <v/>
      </c>
      <c r="K191" s="5">
        <f>IFERROR(XLOOKUP(B191,'PLAYER POOL'!A:A,'PLAYER POOL'!Y:Y),"")</f>
        <v/>
      </c>
      <c r="L191" s="5">
        <f>IF(F191="Yes",K191*IF(G191="Yes",2,1),0)</f>
        <v/>
      </c>
      <c r="M191" s="8" t="n"/>
      <c r="N191" s="8" t="n"/>
      <c r="O191" s="5">
        <f>IF(N191="","",N191-L191)</f>
        <v/>
      </c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5">
        <f>IFERROR(XLOOKUP(B192,'PLAYER POOL'!A:A,'PLAYER POOL'!X:X),"")</f>
        <v/>
      </c>
      <c r="K192" s="5">
        <f>IFERROR(XLOOKUP(B192,'PLAYER POOL'!A:A,'PLAYER POOL'!Y:Y),"")</f>
        <v/>
      </c>
      <c r="L192" s="5">
        <f>IF(F192="Yes",K192*IF(G192="Yes",2,1),0)</f>
        <v/>
      </c>
      <c r="M192" s="8" t="n"/>
      <c r="N192" s="8" t="n"/>
      <c r="O192" s="5">
        <f>IF(N192="","",N192-L192)</f>
        <v/>
      </c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5">
        <f>IFERROR(XLOOKUP(B193,'PLAYER POOL'!A:A,'PLAYER POOL'!X:X),"")</f>
        <v/>
      </c>
      <c r="K193" s="5">
        <f>IFERROR(XLOOKUP(B193,'PLAYER POOL'!A:A,'PLAYER POOL'!Y:Y),"")</f>
        <v/>
      </c>
      <c r="L193" s="5">
        <f>IF(F193="Yes",K193*IF(G193="Yes",2,1),0)</f>
        <v/>
      </c>
      <c r="M193" s="8" t="n"/>
      <c r="N193" s="8" t="n"/>
      <c r="O193" s="5">
        <f>IF(N193="","",N193-L193)</f>
        <v/>
      </c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5">
        <f>IFERROR(XLOOKUP(B194,'PLAYER POOL'!A:A,'PLAYER POOL'!X:X),"")</f>
        <v/>
      </c>
      <c r="K194" s="5">
        <f>IFERROR(XLOOKUP(B194,'PLAYER POOL'!A:A,'PLAYER POOL'!Y:Y),"")</f>
        <v/>
      </c>
      <c r="L194" s="5">
        <f>IF(F194="Yes",K194*IF(G194="Yes",2,1),0)</f>
        <v/>
      </c>
      <c r="M194" s="8" t="n"/>
      <c r="N194" s="8" t="n"/>
      <c r="O194" s="5">
        <f>IF(N194="","",N194-L194)</f>
        <v/>
      </c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5">
        <f>IFERROR(XLOOKUP(B195,'PLAYER POOL'!A:A,'PLAYER POOL'!X:X),"")</f>
        <v/>
      </c>
      <c r="K195" s="5">
        <f>IFERROR(XLOOKUP(B195,'PLAYER POOL'!A:A,'PLAYER POOL'!Y:Y),"")</f>
        <v/>
      </c>
      <c r="L195" s="5">
        <f>IF(F195="Yes",K195*IF(G195="Yes",2,1),0)</f>
        <v/>
      </c>
      <c r="M195" s="8" t="n"/>
      <c r="N195" s="8" t="n"/>
      <c r="O195" s="5">
        <f>IF(N195="","",N195-L195)</f>
        <v/>
      </c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5">
        <f>IFERROR(XLOOKUP(B196,'PLAYER POOL'!A:A,'PLAYER POOL'!X:X),"")</f>
        <v/>
      </c>
      <c r="K196" s="5">
        <f>IFERROR(XLOOKUP(B196,'PLAYER POOL'!A:A,'PLAYER POOL'!Y:Y),"")</f>
        <v/>
      </c>
      <c r="L196" s="5">
        <f>IF(F196="Yes",K196*IF(G196="Yes",2,1),0)</f>
        <v/>
      </c>
      <c r="M196" s="8" t="n"/>
      <c r="N196" s="8" t="n"/>
      <c r="O196" s="5">
        <f>IF(N196="","",N196-L196)</f>
        <v/>
      </c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5">
        <f>IFERROR(XLOOKUP(B197,'PLAYER POOL'!A:A,'PLAYER POOL'!X:X),"")</f>
        <v/>
      </c>
      <c r="K197" s="5">
        <f>IFERROR(XLOOKUP(B197,'PLAYER POOL'!A:A,'PLAYER POOL'!Y:Y),"")</f>
        <v/>
      </c>
      <c r="L197" s="5">
        <f>IF(F197="Yes",K197*IF(G197="Yes",2,1),0)</f>
        <v/>
      </c>
      <c r="M197" s="8" t="n"/>
      <c r="N197" s="8" t="n"/>
      <c r="O197" s="5">
        <f>IF(N197="","",N197-L197)</f>
        <v/>
      </c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5">
        <f>IFERROR(XLOOKUP(B198,'PLAYER POOL'!A:A,'PLAYER POOL'!X:X),"")</f>
        <v/>
      </c>
      <c r="K198" s="5">
        <f>IFERROR(XLOOKUP(B198,'PLAYER POOL'!A:A,'PLAYER POOL'!Y:Y),"")</f>
        <v/>
      </c>
      <c r="L198" s="5">
        <f>IF(F198="Yes",K198*IF(G198="Yes",2,1),0)</f>
        <v/>
      </c>
      <c r="M198" s="8" t="n"/>
      <c r="N198" s="8" t="n"/>
      <c r="O198" s="5">
        <f>IF(N198="","",N198-L198)</f>
        <v/>
      </c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5">
        <f>IFERROR(XLOOKUP(B199,'PLAYER POOL'!A:A,'PLAYER POOL'!X:X),"")</f>
        <v/>
      </c>
      <c r="K199" s="5">
        <f>IFERROR(XLOOKUP(B199,'PLAYER POOL'!A:A,'PLAYER POOL'!Y:Y),"")</f>
        <v/>
      </c>
      <c r="L199" s="5">
        <f>IF(F199="Yes",K199*IF(G199="Yes",2,1),0)</f>
        <v/>
      </c>
      <c r="M199" s="8" t="n"/>
      <c r="N199" s="8" t="n"/>
      <c r="O199" s="5">
        <f>IF(N199="","",N199-L199)</f>
        <v/>
      </c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5">
        <f>IFERROR(XLOOKUP(B200,'PLAYER POOL'!A:A,'PLAYER POOL'!X:X),"")</f>
        <v/>
      </c>
      <c r="K200" s="5">
        <f>IFERROR(XLOOKUP(B200,'PLAYER POOL'!A:A,'PLAYER POOL'!Y:Y),"")</f>
        <v/>
      </c>
      <c r="L200" s="5">
        <f>IF(F200="Yes",K200*IF(G200="Yes",2,1),0)</f>
        <v/>
      </c>
      <c r="M200" s="8" t="n"/>
      <c r="N200" s="8" t="n"/>
      <c r="O200" s="5">
        <f>IF(N200="","",N200-L200)</f>
        <v/>
      </c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5">
        <f>IFERROR(XLOOKUP(B201,'PLAYER POOL'!A:A,'PLAYER POOL'!X:X),"")</f>
        <v/>
      </c>
      <c r="K201" s="5">
        <f>IFERROR(XLOOKUP(B201,'PLAYER POOL'!A:A,'PLAYER POOL'!Y:Y),"")</f>
        <v/>
      </c>
      <c r="L201" s="5">
        <f>IF(F201="Yes",K201*IF(G201="Yes",2,1),0)</f>
        <v/>
      </c>
      <c r="M201" s="8" t="n"/>
      <c r="N201" s="8" t="n"/>
      <c r="O201" s="5">
        <f>IF(N201="","",N201-L201)</f>
        <v/>
      </c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5">
        <f>IFERROR(XLOOKUP(B202,'PLAYER POOL'!A:A,'PLAYER POOL'!X:X),"")</f>
        <v/>
      </c>
      <c r="K202" s="5">
        <f>IFERROR(XLOOKUP(B202,'PLAYER POOL'!A:A,'PLAYER POOL'!Y:Y),"")</f>
        <v/>
      </c>
      <c r="L202" s="5">
        <f>IF(F202="Yes",K202*IF(G202="Yes",2,1),0)</f>
        <v/>
      </c>
      <c r="M202" s="8" t="n"/>
      <c r="N202" s="8" t="n"/>
      <c r="O202" s="5">
        <f>IF(N202="","",N202-L202)</f>
        <v/>
      </c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5">
        <f>IFERROR(XLOOKUP(B203,'PLAYER POOL'!A:A,'PLAYER POOL'!X:X),"")</f>
        <v/>
      </c>
      <c r="K203" s="5">
        <f>IFERROR(XLOOKUP(B203,'PLAYER POOL'!A:A,'PLAYER POOL'!Y:Y),"")</f>
        <v/>
      </c>
      <c r="L203" s="5">
        <f>IF(F203="Yes",K203*IF(G203="Yes",2,1),0)</f>
        <v/>
      </c>
      <c r="M203" s="8" t="n"/>
      <c r="N203" s="8" t="n"/>
      <c r="O203" s="5">
        <f>IF(N203="","",N203-L203)</f>
        <v/>
      </c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5">
        <f>IFERROR(XLOOKUP(B204,'PLAYER POOL'!A:A,'PLAYER POOL'!X:X),"")</f>
        <v/>
      </c>
      <c r="K204" s="5">
        <f>IFERROR(XLOOKUP(B204,'PLAYER POOL'!A:A,'PLAYER POOL'!Y:Y),"")</f>
        <v/>
      </c>
      <c r="L204" s="5">
        <f>IF(F204="Yes",K204*IF(G204="Yes",2,1),0)</f>
        <v/>
      </c>
      <c r="M204" s="8" t="n"/>
      <c r="N204" s="8" t="n"/>
      <c r="O204" s="5">
        <f>IF(N204="","",N204-L204)</f>
        <v/>
      </c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5">
        <f>IFERROR(XLOOKUP(B205,'PLAYER POOL'!A:A,'PLAYER POOL'!X:X),"")</f>
        <v/>
      </c>
      <c r="K205" s="5">
        <f>IFERROR(XLOOKUP(B205,'PLAYER POOL'!A:A,'PLAYER POOL'!Y:Y),"")</f>
        <v/>
      </c>
      <c r="L205" s="5">
        <f>IF(F205="Yes",K205*IF(G205="Yes",2,1),0)</f>
        <v/>
      </c>
      <c r="M205" s="8" t="n"/>
      <c r="N205" s="8" t="n"/>
      <c r="O205" s="5">
        <f>IF(N205="","",N205-L205)</f>
        <v/>
      </c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5">
        <f>IFERROR(XLOOKUP(B206,'PLAYER POOL'!A:A,'PLAYER POOL'!X:X),"")</f>
        <v/>
      </c>
      <c r="K206" s="5">
        <f>IFERROR(XLOOKUP(B206,'PLAYER POOL'!A:A,'PLAYER POOL'!Y:Y),"")</f>
        <v/>
      </c>
      <c r="L206" s="5">
        <f>IF(F206="Yes",K206*IF(G206="Yes",2,1),0)</f>
        <v/>
      </c>
      <c r="M206" s="8" t="n"/>
      <c r="N206" s="8" t="n"/>
      <c r="O206" s="5">
        <f>IF(N206="","",N206-L206)</f>
        <v/>
      </c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5">
        <f>IFERROR(XLOOKUP(B207,'PLAYER POOL'!A:A,'PLAYER POOL'!X:X),"")</f>
        <v/>
      </c>
      <c r="K207" s="5">
        <f>IFERROR(XLOOKUP(B207,'PLAYER POOL'!A:A,'PLAYER POOL'!Y:Y),"")</f>
        <v/>
      </c>
      <c r="L207" s="5">
        <f>IF(F207="Yes",K207*IF(G207="Yes",2,1),0)</f>
        <v/>
      </c>
      <c r="M207" s="8" t="n"/>
      <c r="N207" s="8" t="n"/>
      <c r="O207" s="5">
        <f>IF(N207="","",N207-L207)</f>
        <v/>
      </c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5">
        <f>IFERROR(XLOOKUP(B208,'PLAYER POOL'!A:A,'PLAYER POOL'!X:X),"")</f>
        <v/>
      </c>
      <c r="K208" s="5">
        <f>IFERROR(XLOOKUP(B208,'PLAYER POOL'!A:A,'PLAYER POOL'!Y:Y),"")</f>
        <v/>
      </c>
      <c r="L208" s="5">
        <f>IF(F208="Yes",K208*IF(G208="Yes",2,1),0)</f>
        <v/>
      </c>
      <c r="M208" s="8" t="n"/>
      <c r="N208" s="8" t="n"/>
      <c r="O208" s="5">
        <f>IF(N208="","",N208-L208)</f>
        <v/>
      </c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5">
        <f>IFERROR(XLOOKUP(B209,'PLAYER POOL'!A:A,'PLAYER POOL'!X:X),"")</f>
        <v/>
      </c>
      <c r="K209" s="5">
        <f>IFERROR(XLOOKUP(B209,'PLAYER POOL'!A:A,'PLAYER POOL'!Y:Y),"")</f>
        <v/>
      </c>
      <c r="L209" s="5">
        <f>IF(F209="Yes",K209*IF(G209="Yes",2,1),0)</f>
        <v/>
      </c>
      <c r="M209" s="8" t="n"/>
      <c r="N209" s="8" t="n"/>
      <c r="O209" s="5">
        <f>IF(N209="","",N209-L209)</f>
        <v/>
      </c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5">
        <f>IFERROR(XLOOKUP(B210,'PLAYER POOL'!A:A,'PLAYER POOL'!X:X),"")</f>
        <v/>
      </c>
      <c r="K210" s="5">
        <f>IFERROR(XLOOKUP(B210,'PLAYER POOL'!A:A,'PLAYER POOL'!Y:Y),"")</f>
        <v/>
      </c>
      <c r="L210" s="5">
        <f>IF(F210="Yes",K210*IF(G210="Yes",2,1),0)</f>
        <v/>
      </c>
      <c r="M210" s="8" t="n"/>
      <c r="N210" s="8" t="n"/>
      <c r="O210" s="5">
        <f>IF(N210="","",N210-L210)</f>
        <v/>
      </c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5">
        <f>IFERROR(XLOOKUP(B211,'PLAYER POOL'!A:A,'PLAYER POOL'!X:X),"")</f>
        <v/>
      </c>
      <c r="K211" s="5">
        <f>IFERROR(XLOOKUP(B211,'PLAYER POOL'!A:A,'PLAYER POOL'!Y:Y),"")</f>
        <v/>
      </c>
      <c r="L211" s="5">
        <f>IF(F211="Yes",K211*IF(G211="Yes",2,1),0)</f>
        <v/>
      </c>
      <c r="M211" s="8" t="n"/>
      <c r="N211" s="8" t="n"/>
      <c r="O211" s="5">
        <f>IF(N211="","",N211-L211)</f>
        <v/>
      </c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5">
        <f>IFERROR(XLOOKUP(B212,'PLAYER POOL'!A:A,'PLAYER POOL'!X:X),"")</f>
        <v/>
      </c>
      <c r="K212" s="5">
        <f>IFERROR(XLOOKUP(B212,'PLAYER POOL'!A:A,'PLAYER POOL'!Y:Y),"")</f>
        <v/>
      </c>
      <c r="L212" s="5">
        <f>IF(F212="Yes",K212*IF(G212="Yes",2,1),0)</f>
        <v/>
      </c>
      <c r="M212" s="8" t="n"/>
      <c r="N212" s="8" t="n"/>
      <c r="O212" s="5">
        <f>IF(N212="","",N212-L212)</f>
        <v/>
      </c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5">
        <f>IFERROR(XLOOKUP(B213,'PLAYER POOL'!A:A,'PLAYER POOL'!X:X),"")</f>
        <v/>
      </c>
      <c r="K213" s="5">
        <f>IFERROR(XLOOKUP(B213,'PLAYER POOL'!A:A,'PLAYER POOL'!Y:Y),"")</f>
        <v/>
      </c>
      <c r="L213" s="5">
        <f>IF(F213="Yes",K213*IF(G213="Yes",2,1),0)</f>
        <v/>
      </c>
      <c r="M213" s="8" t="n"/>
      <c r="N213" s="8" t="n"/>
      <c r="O213" s="5">
        <f>IF(N213="","",N213-L213)</f>
        <v/>
      </c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5">
        <f>IFERROR(XLOOKUP(B214,'PLAYER POOL'!A:A,'PLAYER POOL'!X:X),"")</f>
        <v/>
      </c>
      <c r="K214" s="5">
        <f>IFERROR(XLOOKUP(B214,'PLAYER POOL'!A:A,'PLAYER POOL'!Y:Y),"")</f>
        <v/>
      </c>
      <c r="L214" s="5">
        <f>IF(F214="Yes",K214*IF(G214="Yes",2,1),0)</f>
        <v/>
      </c>
      <c r="M214" s="8" t="n"/>
      <c r="N214" s="8" t="n"/>
      <c r="O214" s="5">
        <f>IF(N214="","",N214-L214)</f>
        <v/>
      </c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5">
        <f>IFERROR(XLOOKUP(B215,'PLAYER POOL'!A:A,'PLAYER POOL'!X:X),"")</f>
        <v/>
      </c>
      <c r="K215" s="5">
        <f>IFERROR(XLOOKUP(B215,'PLAYER POOL'!A:A,'PLAYER POOL'!Y:Y),"")</f>
        <v/>
      </c>
      <c r="L215" s="5">
        <f>IF(F215="Yes",K215*IF(G215="Yes",2,1),0)</f>
        <v/>
      </c>
      <c r="M215" s="8" t="n"/>
      <c r="N215" s="8" t="n"/>
      <c r="O215" s="5">
        <f>IF(N215="","",N215-L215)</f>
        <v/>
      </c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5">
        <f>IFERROR(XLOOKUP(B216,'PLAYER POOL'!A:A,'PLAYER POOL'!X:X),"")</f>
        <v/>
      </c>
      <c r="K216" s="5">
        <f>IFERROR(XLOOKUP(B216,'PLAYER POOL'!A:A,'PLAYER POOL'!Y:Y),"")</f>
        <v/>
      </c>
      <c r="L216" s="5">
        <f>IF(F216="Yes",K216*IF(G216="Yes",2,1),0)</f>
        <v/>
      </c>
      <c r="M216" s="8" t="n"/>
      <c r="N216" s="8" t="n"/>
      <c r="O216" s="5">
        <f>IF(N216="","",N216-L216)</f>
        <v/>
      </c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5">
        <f>IFERROR(XLOOKUP(B217,'PLAYER POOL'!A:A,'PLAYER POOL'!X:X),"")</f>
        <v/>
      </c>
      <c r="K217" s="5">
        <f>IFERROR(XLOOKUP(B217,'PLAYER POOL'!A:A,'PLAYER POOL'!Y:Y),"")</f>
        <v/>
      </c>
      <c r="L217" s="5">
        <f>IF(F217="Yes",K217*IF(G217="Yes",2,1),0)</f>
        <v/>
      </c>
      <c r="M217" s="8" t="n"/>
      <c r="N217" s="8" t="n"/>
      <c r="O217" s="5">
        <f>IF(N217="","",N217-L217)</f>
        <v/>
      </c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5">
        <f>IFERROR(XLOOKUP(B218,'PLAYER POOL'!A:A,'PLAYER POOL'!X:X),"")</f>
        <v/>
      </c>
      <c r="K218" s="5">
        <f>IFERROR(XLOOKUP(B218,'PLAYER POOL'!A:A,'PLAYER POOL'!Y:Y),"")</f>
        <v/>
      </c>
      <c r="L218" s="5">
        <f>IF(F218="Yes",K218*IF(G218="Yes",2,1),0)</f>
        <v/>
      </c>
      <c r="M218" s="8" t="n"/>
      <c r="N218" s="8" t="n"/>
      <c r="O218" s="5">
        <f>IF(N218="","",N218-L218)</f>
        <v/>
      </c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5">
        <f>IFERROR(XLOOKUP(B219,'PLAYER POOL'!A:A,'PLAYER POOL'!X:X),"")</f>
        <v/>
      </c>
      <c r="K219" s="5">
        <f>IFERROR(XLOOKUP(B219,'PLAYER POOL'!A:A,'PLAYER POOL'!Y:Y),"")</f>
        <v/>
      </c>
      <c r="L219" s="5">
        <f>IF(F219="Yes",K219*IF(G219="Yes",2,1),0)</f>
        <v/>
      </c>
      <c r="M219" s="8" t="n"/>
      <c r="N219" s="8" t="n"/>
      <c r="O219" s="5">
        <f>IF(N219="","",N219-L219)</f>
        <v/>
      </c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5">
        <f>IFERROR(XLOOKUP(B220,'PLAYER POOL'!A:A,'PLAYER POOL'!X:X),"")</f>
        <v/>
      </c>
      <c r="K220" s="5">
        <f>IFERROR(XLOOKUP(B220,'PLAYER POOL'!A:A,'PLAYER POOL'!Y:Y),"")</f>
        <v/>
      </c>
      <c r="L220" s="5">
        <f>IF(F220="Yes",K220*IF(G220="Yes",2,1),0)</f>
        <v/>
      </c>
      <c r="M220" s="8" t="n"/>
      <c r="N220" s="8" t="n"/>
      <c r="O220" s="5">
        <f>IF(N220="","",N220-L220)</f>
        <v/>
      </c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5">
        <f>IFERROR(XLOOKUP(B221,'PLAYER POOL'!A:A,'PLAYER POOL'!X:X),"")</f>
        <v/>
      </c>
      <c r="K221" s="5">
        <f>IFERROR(XLOOKUP(B221,'PLAYER POOL'!A:A,'PLAYER POOL'!Y:Y),"")</f>
        <v/>
      </c>
      <c r="L221" s="5">
        <f>IF(F221="Yes",K221*IF(G221="Yes",2,1),0)</f>
        <v/>
      </c>
      <c r="M221" s="8" t="n"/>
      <c r="N221" s="8" t="n"/>
      <c r="O221" s="5">
        <f>IF(N221="","",N221-L221)</f>
        <v/>
      </c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5">
        <f>IFERROR(XLOOKUP(B222,'PLAYER POOL'!A:A,'PLAYER POOL'!X:X),"")</f>
        <v/>
      </c>
      <c r="K222" s="5">
        <f>IFERROR(XLOOKUP(B222,'PLAYER POOL'!A:A,'PLAYER POOL'!Y:Y),"")</f>
        <v/>
      </c>
      <c r="L222" s="5">
        <f>IF(F222="Yes",K222*IF(G222="Yes",2,1),0)</f>
        <v/>
      </c>
      <c r="M222" s="8" t="n"/>
      <c r="N222" s="8" t="n"/>
      <c r="O222" s="5">
        <f>IF(N222="","",N222-L222)</f>
        <v/>
      </c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5">
        <f>IFERROR(XLOOKUP(B223,'PLAYER POOL'!A:A,'PLAYER POOL'!X:X),"")</f>
        <v/>
      </c>
      <c r="K223" s="5">
        <f>IFERROR(XLOOKUP(B223,'PLAYER POOL'!A:A,'PLAYER POOL'!Y:Y),"")</f>
        <v/>
      </c>
      <c r="L223" s="5">
        <f>IF(F223="Yes",K223*IF(G223="Yes",2,1),0)</f>
        <v/>
      </c>
      <c r="M223" s="8" t="n"/>
      <c r="N223" s="8" t="n"/>
      <c r="O223" s="5">
        <f>IF(N223="","",N223-L223)</f>
        <v/>
      </c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5">
        <f>IFERROR(XLOOKUP(B224,'PLAYER POOL'!A:A,'PLAYER POOL'!X:X),"")</f>
        <v/>
      </c>
      <c r="K224" s="5">
        <f>IFERROR(XLOOKUP(B224,'PLAYER POOL'!A:A,'PLAYER POOL'!Y:Y),"")</f>
        <v/>
      </c>
      <c r="L224" s="5">
        <f>IF(F224="Yes",K224*IF(G224="Yes",2,1),0)</f>
        <v/>
      </c>
      <c r="M224" s="8" t="n"/>
      <c r="N224" s="8" t="n"/>
      <c r="O224" s="5">
        <f>IF(N224="","",N224-L224)</f>
        <v/>
      </c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5">
        <f>IFERROR(XLOOKUP(B225,'PLAYER POOL'!A:A,'PLAYER POOL'!X:X),"")</f>
        <v/>
      </c>
      <c r="K225" s="5">
        <f>IFERROR(XLOOKUP(B225,'PLAYER POOL'!A:A,'PLAYER POOL'!Y:Y),"")</f>
        <v/>
      </c>
      <c r="L225" s="5">
        <f>IF(F225="Yes",K225*IF(G225="Yes",2,1),0)</f>
        <v/>
      </c>
      <c r="M225" s="8" t="n"/>
      <c r="N225" s="8" t="n"/>
      <c r="O225" s="5">
        <f>IF(N225="","",N225-L225)</f>
        <v/>
      </c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5">
        <f>IFERROR(XLOOKUP(B226,'PLAYER POOL'!A:A,'PLAYER POOL'!X:X),"")</f>
        <v/>
      </c>
      <c r="K226" s="5">
        <f>IFERROR(XLOOKUP(B226,'PLAYER POOL'!A:A,'PLAYER POOL'!Y:Y),"")</f>
        <v/>
      </c>
      <c r="L226" s="5">
        <f>IF(F226="Yes",K226*IF(G226="Yes",2,1),0)</f>
        <v/>
      </c>
      <c r="M226" s="8" t="n"/>
      <c r="N226" s="8" t="n"/>
      <c r="O226" s="5">
        <f>IF(N226="","",N226-L226)</f>
        <v/>
      </c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5">
        <f>IFERROR(XLOOKUP(B227,'PLAYER POOL'!A:A,'PLAYER POOL'!X:X),"")</f>
        <v/>
      </c>
      <c r="K227" s="5">
        <f>IFERROR(XLOOKUP(B227,'PLAYER POOL'!A:A,'PLAYER POOL'!Y:Y),"")</f>
        <v/>
      </c>
      <c r="L227" s="5">
        <f>IF(F227="Yes",K227*IF(G227="Yes",2,1),0)</f>
        <v/>
      </c>
      <c r="M227" s="8" t="n"/>
      <c r="N227" s="8" t="n"/>
      <c r="O227" s="5">
        <f>IF(N227="","",N227-L227)</f>
        <v/>
      </c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5">
        <f>IFERROR(XLOOKUP(B228,'PLAYER POOL'!A:A,'PLAYER POOL'!X:X),"")</f>
        <v/>
      </c>
      <c r="K228" s="5">
        <f>IFERROR(XLOOKUP(B228,'PLAYER POOL'!A:A,'PLAYER POOL'!Y:Y),"")</f>
        <v/>
      </c>
      <c r="L228" s="5">
        <f>IF(F228="Yes",K228*IF(G228="Yes",2,1),0)</f>
        <v/>
      </c>
      <c r="M228" s="8" t="n"/>
      <c r="N228" s="8" t="n"/>
      <c r="O228" s="5">
        <f>IF(N228="","",N228-L228)</f>
        <v/>
      </c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5">
        <f>IFERROR(XLOOKUP(B229,'PLAYER POOL'!A:A,'PLAYER POOL'!X:X),"")</f>
        <v/>
      </c>
      <c r="K229" s="5">
        <f>IFERROR(XLOOKUP(B229,'PLAYER POOL'!A:A,'PLAYER POOL'!Y:Y),"")</f>
        <v/>
      </c>
      <c r="L229" s="5">
        <f>IF(F229="Yes",K229*IF(G229="Yes",2,1),0)</f>
        <v/>
      </c>
      <c r="M229" s="8" t="n"/>
      <c r="N229" s="8" t="n"/>
      <c r="O229" s="5">
        <f>IF(N229="","",N229-L229)</f>
        <v/>
      </c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5">
        <f>IFERROR(XLOOKUP(B230,'PLAYER POOL'!A:A,'PLAYER POOL'!X:X),"")</f>
        <v/>
      </c>
      <c r="K230" s="5">
        <f>IFERROR(XLOOKUP(B230,'PLAYER POOL'!A:A,'PLAYER POOL'!Y:Y),"")</f>
        <v/>
      </c>
      <c r="L230" s="5">
        <f>IF(F230="Yes",K230*IF(G230="Yes",2,1),0)</f>
        <v/>
      </c>
      <c r="M230" s="8" t="n"/>
      <c r="N230" s="8" t="n"/>
      <c r="O230" s="5">
        <f>IF(N230="","",N230-L230)</f>
        <v/>
      </c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5">
        <f>IFERROR(XLOOKUP(B231,'PLAYER POOL'!A:A,'PLAYER POOL'!X:X),"")</f>
        <v/>
      </c>
      <c r="K231" s="5">
        <f>IFERROR(XLOOKUP(B231,'PLAYER POOL'!A:A,'PLAYER POOL'!Y:Y),"")</f>
        <v/>
      </c>
      <c r="L231" s="5">
        <f>IF(F231="Yes",K231*IF(G231="Yes",2,1),0)</f>
        <v/>
      </c>
      <c r="M231" s="8" t="n"/>
      <c r="N231" s="8" t="n"/>
      <c r="O231" s="5">
        <f>IF(N231="","",N231-L231)</f>
        <v/>
      </c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5">
        <f>IFERROR(XLOOKUP(B232,'PLAYER POOL'!A:A,'PLAYER POOL'!X:X),"")</f>
        <v/>
      </c>
      <c r="K232" s="5">
        <f>IFERROR(XLOOKUP(B232,'PLAYER POOL'!A:A,'PLAYER POOL'!Y:Y),"")</f>
        <v/>
      </c>
      <c r="L232" s="5">
        <f>IF(F232="Yes",K232*IF(G232="Yes",2,1),0)</f>
        <v/>
      </c>
      <c r="M232" s="8" t="n"/>
      <c r="N232" s="8" t="n"/>
      <c r="O232" s="5">
        <f>IF(N232="","",N232-L232)</f>
        <v/>
      </c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5">
        <f>IFERROR(XLOOKUP(B233,'PLAYER POOL'!A:A,'PLAYER POOL'!X:X),"")</f>
        <v/>
      </c>
      <c r="K233" s="5">
        <f>IFERROR(XLOOKUP(B233,'PLAYER POOL'!A:A,'PLAYER POOL'!Y:Y),"")</f>
        <v/>
      </c>
      <c r="L233" s="5">
        <f>IF(F233="Yes",K233*IF(G233="Yes",2,1),0)</f>
        <v/>
      </c>
      <c r="M233" s="8" t="n"/>
      <c r="N233" s="8" t="n"/>
      <c r="O233" s="5">
        <f>IF(N233="","",N233-L233)</f>
        <v/>
      </c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5">
        <f>IFERROR(XLOOKUP(B234,'PLAYER POOL'!A:A,'PLAYER POOL'!X:X),"")</f>
        <v/>
      </c>
      <c r="K234" s="5">
        <f>IFERROR(XLOOKUP(B234,'PLAYER POOL'!A:A,'PLAYER POOL'!Y:Y),"")</f>
        <v/>
      </c>
      <c r="L234" s="5">
        <f>IF(F234="Yes",K234*IF(G234="Yes",2,1),0)</f>
        <v/>
      </c>
      <c r="M234" s="8" t="n"/>
      <c r="N234" s="8" t="n"/>
      <c r="O234" s="5">
        <f>IF(N234="","",N234-L234)</f>
        <v/>
      </c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5">
        <f>IFERROR(XLOOKUP(B235,'PLAYER POOL'!A:A,'PLAYER POOL'!X:X),"")</f>
        <v/>
      </c>
      <c r="K235" s="5">
        <f>IFERROR(XLOOKUP(B235,'PLAYER POOL'!A:A,'PLAYER POOL'!Y:Y),"")</f>
        <v/>
      </c>
      <c r="L235" s="5">
        <f>IF(F235="Yes",K235*IF(G235="Yes",2,1),0)</f>
        <v/>
      </c>
      <c r="M235" s="8" t="n"/>
      <c r="N235" s="8" t="n"/>
      <c r="O235" s="5">
        <f>IF(N235="","",N235-L235)</f>
        <v/>
      </c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5">
        <f>IFERROR(XLOOKUP(B236,'PLAYER POOL'!A:A,'PLAYER POOL'!X:X),"")</f>
        <v/>
      </c>
      <c r="K236" s="5">
        <f>IFERROR(XLOOKUP(B236,'PLAYER POOL'!A:A,'PLAYER POOL'!Y:Y),"")</f>
        <v/>
      </c>
      <c r="L236" s="5">
        <f>IF(F236="Yes",K236*IF(G236="Yes",2,1),0)</f>
        <v/>
      </c>
      <c r="M236" s="8" t="n"/>
      <c r="N236" s="8" t="n"/>
      <c r="O236" s="5">
        <f>IF(N236="","",N236-L236)</f>
        <v/>
      </c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5">
        <f>IFERROR(XLOOKUP(B237,'PLAYER POOL'!A:A,'PLAYER POOL'!X:X),"")</f>
        <v/>
      </c>
      <c r="K237" s="5">
        <f>IFERROR(XLOOKUP(B237,'PLAYER POOL'!A:A,'PLAYER POOL'!Y:Y),"")</f>
        <v/>
      </c>
      <c r="L237" s="5">
        <f>IF(F237="Yes",K237*IF(G237="Yes",2,1),0)</f>
        <v/>
      </c>
      <c r="M237" s="8" t="n"/>
      <c r="N237" s="8" t="n"/>
      <c r="O237" s="5">
        <f>IF(N237="","",N237-L237)</f>
        <v/>
      </c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5">
        <f>IFERROR(XLOOKUP(B238,'PLAYER POOL'!A:A,'PLAYER POOL'!X:X),"")</f>
        <v/>
      </c>
      <c r="K238" s="5">
        <f>IFERROR(XLOOKUP(B238,'PLAYER POOL'!A:A,'PLAYER POOL'!Y:Y),"")</f>
        <v/>
      </c>
      <c r="L238" s="5">
        <f>IF(F238="Yes",K238*IF(G238="Yes",2,1),0)</f>
        <v/>
      </c>
      <c r="M238" s="8" t="n"/>
      <c r="N238" s="8" t="n"/>
      <c r="O238" s="5">
        <f>IF(N238="","",N238-L238)</f>
        <v/>
      </c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5">
        <f>IFERROR(XLOOKUP(B239,'PLAYER POOL'!A:A,'PLAYER POOL'!X:X),"")</f>
        <v/>
      </c>
      <c r="K239" s="5">
        <f>IFERROR(XLOOKUP(B239,'PLAYER POOL'!A:A,'PLAYER POOL'!Y:Y),"")</f>
        <v/>
      </c>
      <c r="L239" s="5">
        <f>IF(F239="Yes",K239*IF(G239="Yes",2,1),0)</f>
        <v/>
      </c>
      <c r="M239" s="8" t="n"/>
      <c r="N239" s="8" t="n"/>
      <c r="O239" s="5">
        <f>IF(N239="","",N239-L239)</f>
        <v/>
      </c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5">
        <f>IFERROR(XLOOKUP(B240,'PLAYER POOL'!A:A,'PLAYER POOL'!X:X),"")</f>
        <v/>
      </c>
      <c r="K240" s="5">
        <f>IFERROR(XLOOKUP(B240,'PLAYER POOL'!A:A,'PLAYER POOL'!Y:Y),"")</f>
        <v/>
      </c>
      <c r="L240" s="5">
        <f>IF(F240="Yes",K240*IF(G240="Yes",2,1),0)</f>
        <v/>
      </c>
      <c r="M240" s="8" t="n"/>
      <c r="N240" s="8" t="n"/>
      <c r="O240" s="5">
        <f>IF(N240="","",N240-L240)</f>
        <v/>
      </c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5">
        <f>IFERROR(XLOOKUP(B241,'PLAYER POOL'!A:A,'PLAYER POOL'!X:X),"")</f>
        <v/>
      </c>
      <c r="K241" s="5">
        <f>IFERROR(XLOOKUP(B241,'PLAYER POOL'!A:A,'PLAYER POOL'!Y:Y),"")</f>
        <v/>
      </c>
      <c r="L241" s="5">
        <f>IF(F241="Yes",K241*IF(G241="Yes",2,1),0)</f>
        <v/>
      </c>
      <c r="M241" s="8" t="n"/>
      <c r="N241" s="8" t="n"/>
      <c r="O241" s="5">
        <f>IF(N241="","",N241-L241)</f>
        <v/>
      </c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5">
        <f>IFERROR(XLOOKUP(B242,'PLAYER POOL'!A:A,'PLAYER POOL'!X:X),"")</f>
        <v/>
      </c>
      <c r="K242" s="5">
        <f>IFERROR(XLOOKUP(B242,'PLAYER POOL'!A:A,'PLAYER POOL'!Y:Y),"")</f>
        <v/>
      </c>
      <c r="L242" s="5">
        <f>IF(F242="Yes",K242*IF(G242="Yes",2,1),0)</f>
        <v/>
      </c>
      <c r="M242" s="8" t="n"/>
      <c r="N242" s="8" t="n"/>
      <c r="O242" s="5">
        <f>IF(N242="","",N242-L242)</f>
        <v/>
      </c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5">
        <f>IFERROR(XLOOKUP(B243,'PLAYER POOL'!A:A,'PLAYER POOL'!X:X),"")</f>
        <v/>
      </c>
      <c r="K243" s="5">
        <f>IFERROR(XLOOKUP(B243,'PLAYER POOL'!A:A,'PLAYER POOL'!Y:Y),"")</f>
        <v/>
      </c>
      <c r="L243" s="5">
        <f>IF(F243="Yes",K243*IF(G243="Yes",2,1),0)</f>
        <v/>
      </c>
      <c r="M243" s="8" t="n"/>
      <c r="N243" s="8" t="n"/>
      <c r="O243" s="5">
        <f>IF(N243="","",N243-L243)</f>
        <v/>
      </c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5">
        <f>IFERROR(XLOOKUP(B244,'PLAYER POOL'!A:A,'PLAYER POOL'!X:X),"")</f>
        <v/>
      </c>
      <c r="K244" s="5">
        <f>IFERROR(XLOOKUP(B244,'PLAYER POOL'!A:A,'PLAYER POOL'!Y:Y),"")</f>
        <v/>
      </c>
      <c r="L244" s="5">
        <f>IF(F244="Yes",K244*IF(G244="Yes",2,1),0)</f>
        <v/>
      </c>
      <c r="M244" s="8" t="n"/>
      <c r="N244" s="8" t="n"/>
      <c r="O244" s="5">
        <f>IF(N244="","",N244-L244)</f>
        <v/>
      </c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5">
        <f>IFERROR(XLOOKUP(B245,'PLAYER POOL'!A:A,'PLAYER POOL'!X:X),"")</f>
        <v/>
      </c>
      <c r="K245" s="5">
        <f>IFERROR(XLOOKUP(B245,'PLAYER POOL'!A:A,'PLAYER POOL'!Y:Y),"")</f>
        <v/>
      </c>
      <c r="L245" s="5">
        <f>IF(F245="Yes",K245*IF(G245="Yes",2,1),0)</f>
        <v/>
      </c>
      <c r="M245" s="8" t="n"/>
      <c r="N245" s="8" t="n"/>
      <c r="O245" s="5">
        <f>IF(N245="","",N245-L245)</f>
        <v/>
      </c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5">
        <f>IFERROR(XLOOKUP(B246,'PLAYER POOL'!A:A,'PLAYER POOL'!X:X),"")</f>
        <v/>
      </c>
      <c r="K246" s="5">
        <f>IFERROR(XLOOKUP(B246,'PLAYER POOL'!A:A,'PLAYER POOL'!Y:Y),"")</f>
        <v/>
      </c>
      <c r="L246" s="5">
        <f>IF(F246="Yes",K246*IF(G246="Yes",2,1),0)</f>
        <v/>
      </c>
      <c r="M246" s="8" t="n"/>
      <c r="N246" s="8" t="n"/>
      <c r="O246" s="5">
        <f>IF(N246="","",N246-L246)</f>
        <v/>
      </c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5">
        <f>IFERROR(XLOOKUP(B247,'PLAYER POOL'!A:A,'PLAYER POOL'!X:X),"")</f>
        <v/>
      </c>
      <c r="K247" s="5">
        <f>IFERROR(XLOOKUP(B247,'PLAYER POOL'!A:A,'PLAYER POOL'!Y:Y),"")</f>
        <v/>
      </c>
      <c r="L247" s="5">
        <f>IF(F247="Yes",K247*IF(G247="Yes",2,1),0)</f>
        <v/>
      </c>
      <c r="M247" s="8" t="n"/>
      <c r="N247" s="8" t="n"/>
      <c r="O247" s="5">
        <f>IF(N247="","",N247-L247)</f>
        <v/>
      </c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5">
        <f>IFERROR(XLOOKUP(B248,'PLAYER POOL'!A:A,'PLAYER POOL'!X:X),"")</f>
        <v/>
      </c>
      <c r="K248" s="5">
        <f>IFERROR(XLOOKUP(B248,'PLAYER POOL'!A:A,'PLAYER POOL'!Y:Y),"")</f>
        <v/>
      </c>
      <c r="L248" s="5">
        <f>IF(F248="Yes",K248*IF(G248="Yes",2,1),0)</f>
        <v/>
      </c>
      <c r="M248" s="8" t="n"/>
      <c r="N248" s="8" t="n"/>
      <c r="O248" s="5">
        <f>IF(N248="","",N248-L248)</f>
        <v/>
      </c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5">
        <f>IFERROR(XLOOKUP(B249,'PLAYER POOL'!A:A,'PLAYER POOL'!X:X),"")</f>
        <v/>
      </c>
      <c r="K249" s="5">
        <f>IFERROR(XLOOKUP(B249,'PLAYER POOL'!A:A,'PLAYER POOL'!Y:Y),"")</f>
        <v/>
      </c>
      <c r="L249" s="5">
        <f>IF(F249="Yes",K249*IF(G249="Yes",2,1),0)</f>
        <v/>
      </c>
      <c r="M249" s="8" t="n"/>
      <c r="N249" s="8" t="n"/>
      <c r="O249" s="5">
        <f>IF(N249="","",N249-L249)</f>
        <v/>
      </c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5">
        <f>IFERROR(XLOOKUP(B250,'PLAYER POOL'!A:A,'PLAYER POOL'!X:X),"")</f>
        <v/>
      </c>
      <c r="K250" s="5">
        <f>IFERROR(XLOOKUP(B250,'PLAYER POOL'!A:A,'PLAYER POOL'!Y:Y),"")</f>
        <v/>
      </c>
      <c r="L250" s="5">
        <f>IF(F250="Yes",K250*IF(G250="Yes",2,1),0)</f>
        <v/>
      </c>
      <c r="M250" s="8" t="n"/>
      <c r="N250" s="8" t="n"/>
      <c r="O250" s="5">
        <f>IF(N250="","",N250-L250)</f>
        <v/>
      </c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5">
        <f>IFERROR(XLOOKUP(B251,'PLAYER POOL'!A:A,'PLAYER POOL'!X:X),"")</f>
        <v/>
      </c>
      <c r="K251" s="5">
        <f>IFERROR(XLOOKUP(B251,'PLAYER POOL'!A:A,'PLAYER POOL'!Y:Y),"")</f>
        <v/>
      </c>
      <c r="L251" s="5">
        <f>IF(F251="Yes",K251*IF(G251="Yes",2,1),0)</f>
        <v/>
      </c>
      <c r="M251" s="8" t="n"/>
      <c r="N251" s="8" t="n"/>
      <c r="O251" s="5">
        <f>IF(N251="","",N251-L251)</f>
        <v/>
      </c>
      <c r="P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5">
        <f>IFERROR(XLOOKUP(B252,'PLAYER POOL'!A:A,'PLAYER POOL'!X:X),"")</f>
        <v/>
      </c>
      <c r="K252" s="5">
        <f>IFERROR(XLOOKUP(B252,'PLAYER POOL'!A:A,'PLAYER POOL'!Y:Y),"")</f>
        <v/>
      </c>
      <c r="L252" s="5">
        <f>IF(F252="Yes",K252*IF(G252="Yes",2,1),0)</f>
        <v/>
      </c>
      <c r="M252" s="8" t="n"/>
      <c r="N252" s="8" t="n"/>
      <c r="O252" s="5">
        <f>IF(N252="","",N252-L252)</f>
        <v/>
      </c>
      <c r="P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5">
        <f>IFERROR(XLOOKUP(B253,'PLAYER POOL'!A:A,'PLAYER POOL'!X:X),"")</f>
        <v/>
      </c>
      <c r="K253" s="5">
        <f>IFERROR(XLOOKUP(B253,'PLAYER POOL'!A:A,'PLAYER POOL'!Y:Y),"")</f>
        <v/>
      </c>
      <c r="L253" s="5">
        <f>IF(F253="Yes",K253*IF(G253="Yes",2,1),0)</f>
        <v/>
      </c>
      <c r="M253" s="8" t="n"/>
      <c r="N253" s="8" t="n"/>
      <c r="O253" s="5">
        <f>IF(N253="","",N253-L253)</f>
        <v/>
      </c>
      <c r="P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5">
        <f>IFERROR(XLOOKUP(B254,'PLAYER POOL'!A:A,'PLAYER POOL'!X:X),"")</f>
        <v/>
      </c>
      <c r="K254" s="5">
        <f>IFERROR(XLOOKUP(B254,'PLAYER POOL'!A:A,'PLAYER POOL'!Y:Y),"")</f>
        <v/>
      </c>
      <c r="L254" s="5">
        <f>IF(F254="Yes",K254*IF(G254="Yes",2,1),0)</f>
        <v/>
      </c>
      <c r="M254" s="8" t="n"/>
      <c r="N254" s="8" t="n"/>
      <c r="O254" s="5">
        <f>IF(N254="","",N254-L254)</f>
        <v/>
      </c>
      <c r="P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5">
        <f>IFERROR(XLOOKUP(B255,'PLAYER POOL'!A:A,'PLAYER POOL'!X:X),"")</f>
        <v/>
      </c>
      <c r="K255" s="5">
        <f>IFERROR(XLOOKUP(B255,'PLAYER POOL'!A:A,'PLAYER POOL'!Y:Y),"")</f>
        <v/>
      </c>
      <c r="L255" s="5">
        <f>IF(F255="Yes",K255*IF(G255="Yes",2,1),0)</f>
        <v/>
      </c>
      <c r="M255" s="8" t="n"/>
      <c r="N255" s="8" t="n"/>
      <c r="O255" s="5">
        <f>IF(N255="","",N255-L255)</f>
        <v/>
      </c>
      <c r="P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5">
        <f>IFERROR(XLOOKUP(B256,'PLAYER POOL'!A:A,'PLAYER POOL'!X:X),"")</f>
        <v/>
      </c>
      <c r="K256" s="5">
        <f>IFERROR(XLOOKUP(B256,'PLAYER POOL'!A:A,'PLAYER POOL'!Y:Y),"")</f>
        <v/>
      </c>
      <c r="L256" s="5">
        <f>IF(F256="Yes",K256*IF(G256="Yes",2,1),0)</f>
        <v/>
      </c>
      <c r="M256" s="8" t="n"/>
      <c r="N256" s="8" t="n"/>
      <c r="O256" s="5">
        <f>IF(N256="","",N256-L256)</f>
        <v/>
      </c>
      <c r="P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5">
        <f>IFERROR(XLOOKUP(B257,'PLAYER POOL'!A:A,'PLAYER POOL'!X:X),"")</f>
        <v/>
      </c>
      <c r="K257" s="5">
        <f>IFERROR(XLOOKUP(B257,'PLAYER POOL'!A:A,'PLAYER POOL'!Y:Y),"")</f>
        <v/>
      </c>
      <c r="L257" s="5">
        <f>IF(F257="Yes",K257*IF(G257="Yes",2,1),0)</f>
        <v/>
      </c>
      <c r="M257" s="8" t="n"/>
      <c r="N257" s="8" t="n"/>
      <c r="O257" s="5">
        <f>IF(N257="","",N257-L257)</f>
        <v/>
      </c>
      <c r="P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5">
        <f>IFERROR(XLOOKUP(B258,'PLAYER POOL'!A:A,'PLAYER POOL'!X:X),"")</f>
        <v/>
      </c>
      <c r="K258" s="5">
        <f>IFERROR(XLOOKUP(B258,'PLAYER POOL'!A:A,'PLAYER POOL'!Y:Y),"")</f>
        <v/>
      </c>
      <c r="L258" s="5">
        <f>IF(F258="Yes",K258*IF(G258="Yes",2,1),0)</f>
        <v/>
      </c>
      <c r="M258" s="8" t="n"/>
      <c r="N258" s="8" t="n"/>
      <c r="O258" s="5">
        <f>IF(N258="","",N258-L258)</f>
        <v/>
      </c>
      <c r="P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5">
        <f>IFERROR(XLOOKUP(B259,'PLAYER POOL'!A:A,'PLAYER POOL'!X:X),"")</f>
        <v/>
      </c>
      <c r="K259" s="5">
        <f>IFERROR(XLOOKUP(B259,'PLAYER POOL'!A:A,'PLAYER POOL'!Y:Y),"")</f>
        <v/>
      </c>
      <c r="L259" s="5">
        <f>IF(F259="Yes",K259*IF(G259="Yes",2,1),0)</f>
        <v/>
      </c>
      <c r="M259" s="8" t="n"/>
      <c r="N259" s="8" t="n"/>
      <c r="O259" s="5">
        <f>IF(N259="","",N259-L259)</f>
        <v/>
      </c>
      <c r="P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5">
        <f>IFERROR(XLOOKUP(B260,'PLAYER POOL'!A:A,'PLAYER POOL'!X:X),"")</f>
        <v/>
      </c>
      <c r="K260" s="5">
        <f>IFERROR(XLOOKUP(B260,'PLAYER POOL'!A:A,'PLAYER POOL'!Y:Y),"")</f>
        <v/>
      </c>
      <c r="L260" s="5">
        <f>IF(F260="Yes",K260*IF(G260="Yes",2,1),0)</f>
        <v/>
      </c>
      <c r="M260" s="8" t="n"/>
      <c r="N260" s="8" t="n"/>
      <c r="O260" s="5">
        <f>IF(N260="","",N260-L260)</f>
        <v/>
      </c>
      <c r="P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5">
        <f>IFERROR(XLOOKUP(B261,'PLAYER POOL'!A:A,'PLAYER POOL'!X:X),"")</f>
        <v/>
      </c>
      <c r="K261" s="5">
        <f>IFERROR(XLOOKUP(B261,'PLAYER POOL'!A:A,'PLAYER POOL'!Y:Y),"")</f>
        <v/>
      </c>
      <c r="L261" s="5">
        <f>IF(F261="Yes",K261*IF(G261="Yes",2,1),0)</f>
        <v/>
      </c>
      <c r="M261" s="8" t="n"/>
      <c r="N261" s="8" t="n"/>
      <c r="O261" s="5">
        <f>IF(N261="","",N261-L261)</f>
        <v/>
      </c>
      <c r="P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5">
        <f>IFERROR(XLOOKUP(B262,'PLAYER POOL'!A:A,'PLAYER POOL'!X:X),"")</f>
        <v/>
      </c>
      <c r="K262" s="5">
        <f>IFERROR(XLOOKUP(B262,'PLAYER POOL'!A:A,'PLAYER POOL'!Y:Y),"")</f>
        <v/>
      </c>
      <c r="L262" s="5">
        <f>IF(F262="Yes",K262*IF(G262="Yes",2,1),0)</f>
        <v/>
      </c>
      <c r="M262" s="8" t="n"/>
      <c r="N262" s="8" t="n"/>
      <c r="O262" s="5">
        <f>IF(N262="","",N262-L262)</f>
        <v/>
      </c>
      <c r="P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5">
        <f>IFERROR(XLOOKUP(B263,'PLAYER POOL'!A:A,'PLAYER POOL'!X:X),"")</f>
        <v/>
      </c>
      <c r="K263" s="5">
        <f>IFERROR(XLOOKUP(B263,'PLAYER POOL'!A:A,'PLAYER POOL'!Y:Y),"")</f>
        <v/>
      </c>
      <c r="L263" s="5">
        <f>IF(F263="Yes",K263*IF(G263="Yes",2,1),0)</f>
        <v/>
      </c>
      <c r="M263" s="8" t="n"/>
      <c r="N263" s="8" t="n"/>
      <c r="O263" s="5">
        <f>IF(N263="","",N263-L263)</f>
        <v/>
      </c>
      <c r="P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5">
        <f>IFERROR(XLOOKUP(B264,'PLAYER POOL'!A:A,'PLAYER POOL'!X:X),"")</f>
        <v/>
      </c>
      <c r="K264" s="5">
        <f>IFERROR(XLOOKUP(B264,'PLAYER POOL'!A:A,'PLAYER POOL'!Y:Y),"")</f>
        <v/>
      </c>
      <c r="L264" s="5">
        <f>IF(F264="Yes",K264*IF(G264="Yes",2,1),0)</f>
        <v/>
      </c>
      <c r="M264" s="8" t="n"/>
      <c r="N264" s="8" t="n"/>
      <c r="O264" s="5">
        <f>IF(N264="","",N264-L264)</f>
        <v/>
      </c>
      <c r="P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5">
        <f>IFERROR(XLOOKUP(B265,'PLAYER POOL'!A:A,'PLAYER POOL'!X:X),"")</f>
        <v/>
      </c>
      <c r="K265" s="5">
        <f>IFERROR(XLOOKUP(B265,'PLAYER POOL'!A:A,'PLAYER POOL'!Y:Y),"")</f>
        <v/>
      </c>
      <c r="L265" s="5">
        <f>IF(F265="Yes",K265*IF(G265="Yes",2,1),0)</f>
        <v/>
      </c>
      <c r="M265" s="8" t="n"/>
      <c r="N265" s="8" t="n"/>
      <c r="O265" s="5">
        <f>IF(N265="","",N265-L265)</f>
        <v/>
      </c>
      <c r="P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5">
        <f>IFERROR(XLOOKUP(B266,'PLAYER POOL'!A:A,'PLAYER POOL'!X:X),"")</f>
        <v/>
      </c>
      <c r="K266" s="5">
        <f>IFERROR(XLOOKUP(B266,'PLAYER POOL'!A:A,'PLAYER POOL'!Y:Y),"")</f>
        <v/>
      </c>
      <c r="L266" s="5">
        <f>IF(F266="Yes",K266*IF(G266="Yes",2,1),0)</f>
        <v/>
      </c>
      <c r="M266" s="8" t="n"/>
      <c r="N266" s="8" t="n"/>
      <c r="O266" s="5">
        <f>IF(N266="","",N266-L266)</f>
        <v/>
      </c>
      <c r="P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5">
        <f>IFERROR(XLOOKUP(B267,'PLAYER POOL'!A:A,'PLAYER POOL'!X:X),"")</f>
        <v/>
      </c>
      <c r="K267" s="5">
        <f>IFERROR(XLOOKUP(B267,'PLAYER POOL'!A:A,'PLAYER POOL'!Y:Y),"")</f>
        <v/>
      </c>
      <c r="L267" s="5">
        <f>IF(F267="Yes",K267*IF(G267="Yes",2,1),0)</f>
        <v/>
      </c>
      <c r="M267" s="8" t="n"/>
      <c r="N267" s="8" t="n"/>
      <c r="O267" s="5">
        <f>IF(N267="","",N267-L267)</f>
        <v/>
      </c>
      <c r="P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5">
        <f>IFERROR(XLOOKUP(B268,'PLAYER POOL'!A:A,'PLAYER POOL'!X:X),"")</f>
        <v/>
      </c>
      <c r="K268" s="5">
        <f>IFERROR(XLOOKUP(B268,'PLAYER POOL'!A:A,'PLAYER POOL'!Y:Y),"")</f>
        <v/>
      </c>
      <c r="L268" s="5">
        <f>IF(F268="Yes",K268*IF(G268="Yes",2,1),0)</f>
        <v/>
      </c>
      <c r="M268" s="8" t="n"/>
      <c r="N268" s="8" t="n"/>
      <c r="O268" s="5">
        <f>IF(N268="","",N268-L268)</f>
        <v/>
      </c>
      <c r="P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5">
        <f>IFERROR(XLOOKUP(B269,'PLAYER POOL'!A:A,'PLAYER POOL'!X:X),"")</f>
        <v/>
      </c>
      <c r="K269" s="5">
        <f>IFERROR(XLOOKUP(B269,'PLAYER POOL'!A:A,'PLAYER POOL'!Y:Y),"")</f>
        <v/>
      </c>
      <c r="L269" s="5">
        <f>IF(F269="Yes",K269*IF(G269="Yes",2,1),0)</f>
        <v/>
      </c>
      <c r="M269" s="8" t="n"/>
      <c r="N269" s="8" t="n"/>
      <c r="O269" s="5">
        <f>IF(N269="","",N269-L269)</f>
        <v/>
      </c>
      <c r="P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5">
        <f>IFERROR(XLOOKUP(B270,'PLAYER POOL'!A:A,'PLAYER POOL'!X:X),"")</f>
        <v/>
      </c>
      <c r="K270" s="5">
        <f>IFERROR(XLOOKUP(B270,'PLAYER POOL'!A:A,'PLAYER POOL'!Y:Y),"")</f>
        <v/>
      </c>
      <c r="L270" s="5">
        <f>IF(F270="Yes",K270*IF(G270="Yes",2,1),0)</f>
        <v/>
      </c>
      <c r="M270" s="8" t="n"/>
      <c r="N270" s="8" t="n"/>
      <c r="O270" s="5">
        <f>IF(N270="","",N270-L270)</f>
        <v/>
      </c>
      <c r="P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5">
        <f>IFERROR(XLOOKUP(B271,'PLAYER POOL'!A:A,'PLAYER POOL'!X:X),"")</f>
        <v/>
      </c>
      <c r="K271" s="5">
        <f>IFERROR(XLOOKUP(B271,'PLAYER POOL'!A:A,'PLAYER POOL'!Y:Y),"")</f>
        <v/>
      </c>
      <c r="L271" s="5">
        <f>IF(F271="Yes",K271*IF(G271="Yes",2,1),0)</f>
        <v/>
      </c>
      <c r="M271" s="8" t="n"/>
      <c r="N271" s="8" t="n"/>
      <c r="O271" s="5">
        <f>IF(N271="","",N271-L271)</f>
        <v/>
      </c>
      <c r="P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5">
        <f>IFERROR(XLOOKUP(B272,'PLAYER POOL'!A:A,'PLAYER POOL'!X:X),"")</f>
        <v/>
      </c>
      <c r="K272" s="5">
        <f>IFERROR(XLOOKUP(B272,'PLAYER POOL'!A:A,'PLAYER POOL'!Y:Y),"")</f>
        <v/>
      </c>
      <c r="L272" s="5">
        <f>IF(F272="Yes",K272*IF(G272="Yes",2,1),0)</f>
        <v/>
      </c>
      <c r="M272" s="8" t="n"/>
      <c r="N272" s="8" t="n"/>
      <c r="O272" s="5">
        <f>IF(N272="","",N272-L272)</f>
        <v/>
      </c>
      <c r="P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5">
        <f>IFERROR(XLOOKUP(B273,'PLAYER POOL'!A:A,'PLAYER POOL'!X:X),"")</f>
        <v/>
      </c>
      <c r="K273" s="5">
        <f>IFERROR(XLOOKUP(B273,'PLAYER POOL'!A:A,'PLAYER POOL'!Y:Y),"")</f>
        <v/>
      </c>
      <c r="L273" s="5">
        <f>IF(F273="Yes",K273*IF(G273="Yes",2,1),0)</f>
        <v/>
      </c>
      <c r="M273" s="8" t="n"/>
      <c r="N273" s="8" t="n"/>
      <c r="O273" s="5">
        <f>IF(N273="","",N273-L273)</f>
        <v/>
      </c>
      <c r="P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5">
        <f>IFERROR(XLOOKUP(B274,'PLAYER POOL'!A:A,'PLAYER POOL'!X:X),"")</f>
        <v/>
      </c>
      <c r="K274" s="5">
        <f>IFERROR(XLOOKUP(B274,'PLAYER POOL'!A:A,'PLAYER POOL'!Y:Y),"")</f>
        <v/>
      </c>
      <c r="L274" s="5">
        <f>IF(F274="Yes",K274*IF(G274="Yes",2,1),0)</f>
        <v/>
      </c>
      <c r="M274" s="8" t="n"/>
      <c r="N274" s="8" t="n"/>
      <c r="O274" s="5">
        <f>IF(N274="","",N274-L274)</f>
        <v/>
      </c>
      <c r="P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5">
        <f>IFERROR(XLOOKUP(B275,'PLAYER POOL'!A:A,'PLAYER POOL'!X:X),"")</f>
        <v/>
      </c>
      <c r="K275" s="5">
        <f>IFERROR(XLOOKUP(B275,'PLAYER POOL'!A:A,'PLAYER POOL'!Y:Y),"")</f>
        <v/>
      </c>
      <c r="L275" s="5">
        <f>IF(F275="Yes",K275*IF(G275="Yes",2,1),0)</f>
        <v/>
      </c>
      <c r="M275" s="8" t="n"/>
      <c r="N275" s="8" t="n"/>
      <c r="O275" s="5">
        <f>IF(N275="","",N275-L275)</f>
        <v/>
      </c>
      <c r="P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5">
        <f>IFERROR(XLOOKUP(B276,'PLAYER POOL'!A:A,'PLAYER POOL'!X:X),"")</f>
        <v/>
      </c>
      <c r="K276" s="5">
        <f>IFERROR(XLOOKUP(B276,'PLAYER POOL'!A:A,'PLAYER POOL'!Y:Y),"")</f>
        <v/>
      </c>
      <c r="L276" s="5">
        <f>IF(F276="Yes",K276*IF(G276="Yes",2,1),0)</f>
        <v/>
      </c>
      <c r="M276" s="8" t="n"/>
      <c r="N276" s="8" t="n"/>
      <c r="O276" s="5">
        <f>IF(N276="","",N276-L276)</f>
        <v/>
      </c>
      <c r="P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5">
        <f>IFERROR(XLOOKUP(B277,'PLAYER POOL'!A:A,'PLAYER POOL'!X:X),"")</f>
        <v/>
      </c>
      <c r="K277" s="5">
        <f>IFERROR(XLOOKUP(B277,'PLAYER POOL'!A:A,'PLAYER POOL'!Y:Y),"")</f>
        <v/>
      </c>
      <c r="L277" s="5">
        <f>IF(F277="Yes",K277*IF(G277="Yes",2,1),0)</f>
        <v/>
      </c>
      <c r="M277" s="8" t="n"/>
      <c r="N277" s="8" t="n"/>
      <c r="O277" s="5">
        <f>IF(N277="","",N277-L277)</f>
        <v/>
      </c>
      <c r="P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5">
        <f>IFERROR(XLOOKUP(B278,'PLAYER POOL'!A:A,'PLAYER POOL'!X:X),"")</f>
        <v/>
      </c>
      <c r="K278" s="5">
        <f>IFERROR(XLOOKUP(B278,'PLAYER POOL'!A:A,'PLAYER POOL'!Y:Y),"")</f>
        <v/>
      </c>
      <c r="L278" s="5">
        <f>IF(F278="Yes",K278*IF(G278="Yes",2,1),0)</f>
        <v/>
      </c>
      <c r="M278" s="8" t="n"/>
      <c r="N278" s="8" t="n"/>
      <c r="O278" s="5">
        <f>IF(N278="","",N278-L278)</f>
        <v/>
      </c>
      <c r="P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5">
        <f>IFERROR(XLOOKUP(B279,'PLAYER POOL'!A:A,'PLAYER POOL'!X:X),"")</f>
        <v/>
      </c>
      <c r="K279" s="5">
        <f>IFERROR(XLOOKUP(B279,'PLAYER POOL'!A:A,'PLAYER POOL'!Y:Y),"")</f>
        <v/>
      </c>
      <c r="L279" s="5">
        <f>IF(F279="Yes",K279*IF(G279="Yes",2,1),0)</f>
        <v/>
      </c>
      <c r="M279" s="8" t="n"/>
      <c r="N279" s="8" t="n"/>
      <c r="O279" s="5">
        <f>IF(N279="","",N279-L279)</f>
        <v/>
      </c>
      <c r="P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5">
        <f>IFERROR(XLOOKUP(B280,'PLAYER POOL'!A:A,'PLAYER POOL'!X:X),"")</f>
        <v/>
      </c>
      <c r="K280" s="5">
        <f>IFERROR(XLOOKUP(B280,'PLAYER POOL'!A:A,'PLAYER POOL'!Y:Y),"")</f>
        <v/>
      </c>
      <c r="L280" s="5">
        <f>IF(F280="Yes",K280*IF(G280="Yes",2,1),0)</f>
        <v/>
      </c>
      <c r="M280" s="8" t="n"/>
      <c r="N280" s="8" t="n"/>
      <c r="O280" s="5">
        <f>IF(N280="","",N280-L280)</f>
        <v/>
      </c>
      <c r="P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5">
        <f>IFERROR(XLOOKUP(B281,'PLAYER POOL'!A:A,'PLAYER POOL'!X:X),"")</f>
        <v/>
      </c>
      <c r="K281" s="5">
        <f>IFERROR(XLOOKUP(B281,'PLAYER POOL'!A:A,'PLAYER POOL'!Y:Y),"")</f>
        <v/>
      </c>
      <c r="L281" s="5">
        <f>IF(F281="Yes",K281*IF(G281="Yes",2,1),0)</f>
        <v/>
      </c>
      <c r="M281" s="8" t="n"/>
      <c r="N281" s="8" t="n"/>
      <c r="O281" s="5">
        <f>IF(N281="","",N281-L281)</f>
        <v/>
      </c>
      <c r="P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5">
        <f>IFERROR(XLOOKUP(B282,'PLAYER POOL'!A:A,'PLAYER POOL'!X:X),"")</f>
        <v/>
      </c>
      <c r="K282" s="5">
        <f>IFERROR(XLOOKUP(B282,'PLAYER POOL'!A:A,'PLAYER POOL'!Y:Y),"")</f>
        <v/>
      </c>
      <c r="L282" s="5">
        <f>IF(F282="Yes",K282*IF(G282="Yes",2,1),0)</f>
        <v/>
      </c>
      <c r="M282" s="8" t="n"/>
      <c r="N282" s="8" t="n"/>
      <c r="O282" s="5">
        <f>IF(N282="","",N282-L282)</f>
        <v/>
      </c>
      <c r="P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5">
        <f>IFERROR(XLOOKUP(B283,'PLAYER POOL'!A:A,'PLAYER POOL'!X:X),"")</f>
        <v/>
      </c>
      <c r="K283" s="5">
        <f>IFERROR(XLOOKUP(B283,'PLAYER POOL'!A:A,'PLAYER POOL'!Y:Y),"")</f>
        <v/>
      </c>
      <c r="L283" s="5">
        <f>IF(F283="Yes",K283*IF(G283="Yes",2,1),0)</f>
        <v/>
      </c>
      <c r="M283" s="8" t="n"/>
      <c r="N283" s="8" t="n"/>
      <c r="O283" s="5">
        <f>IF(N283="","",N283-L283)</f>
        <v/>
      </c>
      <c r="P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5">
        <f>IFERROR(XLOOKUP(B284,'PLAYER POOL'!A:A,'PLAYER POOL'!X:X),"")</f>
        <v/>
      </c>
      <c r="K284" s="5">
        <f>IFERROR(XLOOKUP(B284,'PLAYER POOL'!A:A,'PLAYER POOL'!Y:Y),"")</f>
        <v/>
      </c>
      <c r="L284" s="5">
        <f>IF(F284="Yes",K284*IF(G284="Yes",2,1),0)</f>
        <v/>
      </c>
      <c r="M284" s="8" t="n"/>
      <c r="N284" s="8" t="n"/>
      <c r="O284" s="5">
        <f>IF(N284="","",N284-L284)</f>
        <v/>
      </c>
      <c r="P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5">
        <f>IFERROR(XLOOKUP(B285,'PLAYER POOL'!A:A,'PLAYER POOL'!X:X),"")</f>
        <v/>
      </c>
      <c r="K285" s="5">
        <f>IFERROR(XLOOKUP(B285,'PLAYER POOL'!A:A,'PLAYER POOL'!Y:Y),"")</f>
        <v/>
      </c>
      <c r="L285" s="5">
        <f>IF(F285="Yes",K285*IF(G285="Yes",2,1),0)</f>
        <v/>
      </c>
      <c r="M285" s="8" t="n"/>
      <c r="N285" s="8" t="n"/>
      <c r="O285" s="5">
        <f>IF(N285="","",N285-L285)</f>
        <v/>
      </c>
      <c r="P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5">
        <f>IFERROR(XLOOKUP(B286,'PLAYER POOL'!A:A,'PLAYER POOL'!X:X),"")</f>
        <v/>
      </c>
      <c r="K286" s="5">
        <f>IFERROR(XLOOKUP(B286,'PLAYER POOL'!A:A,'PLAYER POOL'!Y:Y),"")</f>
        <v/>
      </c>
      <c r="L286" s="5">
        <f>IF(F286="Yes",K286*IF(G286="Yes",2,1),0)</f>
        <v/>
      </c>
      <c r="M286" s="8" t="n"/>
      <c r="N286" s="8" t="n"/>
      <c r="O286" s="5">
        <f>IF(N286="","",N286-L286)</f>
        <v/>
      </c>
      <c r="P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5">
        <f>IFERROR(XLOOKUP(B287,'PLAYER POOL'!A:A,'PLAYER POOL'!X:X),"")</f>
        <v/>
      </c>
      <c r="K287" s="5">
        <f>IFERROR(XLOOKUP(B287,'PLAYER POOL'!A:A,'PLAYER POOL'!Y:Y),"")</f>
        <v/>
      </c>
      <c r="L287" s="5">
        <f>IF(F287="Yes",K287*IF(G287="Yes",2,1),0)</f>
        <v/>
      </c>
      <c r="M287" s="8" t="n"/>
      <c r="N287" s="8" t="n"/>
      <c r="O287" s="5">
        <f>IF(N287="","",N287-L287)</f>
        <v/>
      </c>
      <c r="P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5">
        <f>IFERROR(XLOOKUP(B288,'PLAYER POOL'!A:A,'PLAYER POOL'!X:X),"")</f>
        <v/>
      </c>
      <c r="K288" s="5">
        <f>IFERROR(XLOOKUP(B288,'PLAYER POOL'!A:A,'PLAYER POOL'!Y:Y),"")</f>
        <v/>
      </c>
      <c r="L288" s="5">
        <f>IF(F288="Yes",K288*IF(G288="Yes",2,1),0)</f>
        <v/>
      </c>
      <c r="M288" s="8" t="n"/>
      <c r="N288" s="8" t="n"/>
      <c r="O288" s="5">
        <f>IF(N288="","",N288-L288)</f>
        <v/>
      </c>
      <c r="P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5">
        <f>IFERROR(XLOOKUP(B289,'PLAYER POOL'!A:A,'PLAYER POOL'!X:X),"")</f>
        <v/>
      </c>
      <c r="K289" s="5">
        <f>IFERROR(XLOOKUP(B289,'PLAYER POOL'!A:A,'PLAYER POOL'!Y:Y),"")</f>
        <v/>
      </c>
      <c r="L289" s="5">
        <f>IF(F289="Yes",K289*IF(G289="Yes",2,1),0)</f>
        <v/>
      </c>
      <c r="M289" s="8" t="n"/>
      <c r="N289" s="8" t="n"/>
      <c r="O289" s="5">
        <f>IF(N289="","",N289-L289)</f>
        <v/>
      </c>
      <c r="P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5">
        <f>IFERROR(XLOOKUP(B290,'PLAYER POOL'!A:A,'PLAYER POOL'!X:X),"")</f>
        <v/>
      </c>
      <c r="K290" s="5">
        <f>IFERROR(XLOOKUP(B290,'PLAYER POOL'!A:A,'PLAYER POOL'!Y:Y),"")</f>
        <v/>
      </c>
      <c r="L290" s="5">
        <f>IF(F290="Yes",K290*IF(G290="Yes",2,1),0)</f>
        <v/>
      </c>
      <c r="M290" s="8" t="n"/>
      <c r="N290" s="8" t="n"/>
      <c r="O290" s="5">
        <f>IF(N290="","",N290-L290)</f>
        <v/>
      </c>
      <c r="P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5">
        <f>IFERROR(XLOOKUP(B291,'PLAYER POOL'!A:A,'PLAYER POOL'!X:X),"")</f>
        <v/>
      </c>
      <c r="K291" s="5">
        <f>IFERROR(XLOOKUP(B291,'PLAYER POOL'!A:A,'PLAYER POOL'!Y:Y),"")</f>
        <v/>
      </c>
      <c r="L291" s="5">
        <f>IF(F291="Yes",K291*IF(G291="Yes",2,1),0)</f>
        <v/>
      </c>
      <c r="M291" s="8" t="n"/>
      <c r="N291" s="8" t="n"/>
      <c r="O291" s="5">
        <f>IF(N291="","",N291-L291)</f>
        <v/>
      </c>
      <c r="P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5">
        <f>IFERROR(XLOOKUP(B292,'PLAYER POOL'!A:A,'PLAYER POOL'!X:X),"")</f>
        <v/>
      </c>
      <c r="K292" s="5">
        <f>IFERROR(XLOOKUP(B292,'PLAYER POOL'!A:A,'PLAYER POOL'!Y:Y),"")</f>
        <v/>
      </c>
      <c r="L292" s="5">
        <f>IF(F292="Yes",K292*IF(G292="Yes",2,1),0)</f>
        <v/>
      </c>
      <c r="M292" s="8" t="n"/>
      <c r="N292" s="8" t="n"/>
      <c r="O292" s="5">
        <f>IF(N292="","",N292-L292)</f>
        <v/>
      </c>
      <c r="P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5">
        <f>IFERROR(XLOOKUP(B293,'PLAYER POOL'!A:A,'PLAYER POOL'!X:X),"")</f>
        <v/>
      </c>
      <c r="K293" s="5">
        <f>IFERROR(XLOOKUP(B293,'PLAYER POOL'!A:A,'PLAYER POOL'!Y:Y),"")</f>
        <v/>
      </c>
      <c r="L293" s="5">
        <f>IF(F293="Yes",K293*IF(G293="Yes",2,1),0)</f>
        <v/>
      </c>
      <c r="M293" s="8" t="n"/>
      <c r="N293" s="8" t="n"/>
      <c r="O293" s="5">
        <f>IF(N293="","",N293-L293)</f>
        <v/>
      </c>
      <c r="P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5">
        <f>IFERROR(XLOOKUP(B294,'PLAYER POOL'!A:A,'PLAYER POOL'!X:X),"")</f>
        <v/>
      </c>
      <c r="K294" s="5">
        <f>IFERROR(XLOOKUP(B294,'PLAYER POOL'!A:A,'PLAYER POOL'!Y:Y),"")</f>
        <v/>
      </c>
      <c r="L294" s="5">
        <f>IF(F294="Yes",K294*IF(G294="Yes",2,1),0)</f>
        <v/>
      </c>
      <c r="M294" s="8" t="n"/>
      <c r="N294" s="8" t="n"/>
      <c r="O294" s="5">
        <f>IF(N294="","",N294-L294)</f>
        <v/>
      </c>
      <c r="P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5">
        <f>IFERROR(XLOOKUP(B295,'PLAYER POOL'!A:A,'PLAYER POOL'!X:X),"")</f>
        <v/>
      </c>
      <c r="K295" s="5">
        <f>IFERROR(XLOOKUP(B295,'PLAYER POOL'!A:A,'PLAYER POOL'!Y:Y),"")</f>
        <v/>
      </c>
      <c r="L295" s="5">
        <f>IF(F295="Yes",K295*IF(G295="Yes",2,1),0)</f>
        <v/>
      </c>
      <c r="M295" s="8" t="n"/>
      <c r="N295" s="8" t="n"/>
      <c r="O295" s="5">
        <f>IF(N295="","",N295-L295)</f>
        <v/>
      </c>
      <c r="P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5">
        <f>IFERROR(XLOOKUP(B296,'PLAYER POOL'!A:A,'PLAYER POOL'!X:X),"")</f>
        <v/>
      </c>
      <c r="K296" s="5">
        <f>IFERROR(XLOOKUP(B296,'PLAYER POOL'!A:A,'PLAYER POOL'!Y:Y),"")</f>
        <v/>
      </c>
      <c r="L296" s="5">
        <f>IF(F296="Yes",K296*IF(G296="Yes",2,1),0)</f>
        <v/>
      </c>
      <c r="M296" s="8" t="n"/>
      <c r="N296" s="8" t="n"/>
      <c r="O296" s="5">
        <f>IF(N296="","",N296-L296)</f>
        <v/>
      </c>
      <c r="P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5">
        <f>IFERROR(XLOOKUP(B297,'PLAYER POOL'!A:A,'PLAYER POOL'!X:X),"")</f>
        <v/>
      </c>
      <c r="K297" s="5">
        <f>IFERROR(XLOOKUP(B297,'PLAYER POOL'!A:A,'PLAYER POOL'!Y:Y),"")</f>
        <v/>
      </c>
      <c r="L297" s="5">
        <f>IF(F297="Yes",K297*IF(G297="Yes",2,1),0)</f>
        <v/>
      </c>
      <c r="M297" s="8" t="n"/>
      <c r="N297" s="8" t="n"/>
      <c r="O297" s="5">
        <f>IF(N297="","",N297-L297)</f>
        <v/>
      </c>
      <c r="P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5">
        <f>IFERROR(XLOOKUP(B298,'PLAYER POOL'!A:A,'PLAYER POOL'!X:X),"")</f>
        <v/>
      </c>
      <c r="K298" s="5">
        <f>IFERROR(XLOOKUP(B298,'PLAYER POOL'!A:A,'PLAYER POOL'!Y:Y),"")</f>
        <v/>
      </c>
      <c r="L298" s="5">
        <f>IF(F298="Yes",K298*IF(G298="Yes",2,1),0)</f>
        <v/>
      </c>
      <c r="M298" s="8" t="n"/>
      <c r="N298" s="8" t="n"/>
      <c r="O298" s="5">
        <f>IF(N298="","",N298-L298)</f>
        <v/>
      </c>
      <c r="P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5">
        <f>IFERROR(XLOOKUP(B299,'PLAYER POOL'!A:A,'PLAYER POOL'!X:X),"")</f>
        <v/>
      </c>
      <c r="K299" s="5">
        <f>IFERROR(XLOOKUP(B299,'PLAYER POOL'!A:A,'PLAYER POOL'!Y:Y),"")</f>
        <v/>
      </c>
      <c r="L299" s="5">
        <f>IF(F299="Yes",K299*IF(G299="Yes",2,1),0)</f>
        <v/>
      </c>
      <c r="M299" s="8" t="n"/>
      <c r="N299" s="8" t="n"/>
      <c r="O299" s="5">
        <f>IF(N299="","",N299-L299)</f>
        <v/>
      </c>
      <c r="P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5">
        <f>IFERROR(XLOOKUP(B300,'PLAYER POOL'!A:A,'PLAYER POOL'!X:X),"")</f>
        <v/>
      </c>
      <c r="K300" s="5">
        <f>IFERROR(XLOOKUP(B300,'PLAYER POOL'!A:A,'PLAYER POOL'!Y:Y),"")</f>
        <v/>
      </c>
      <c r="L300" s="5">
        <f>IF(F300="Yes",K300*IF(G300="Yes",2,1),0)</f>
        <v/>
      </c>
      <c r="M300" s="8" t="n"/>
      <c r="N300" s="8" t="n"/>
      <c r="O300" s="5">
        <f>IF(N300="","",N300-L300)</f>
        <v/>
      </c>
      <c r="P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5">
        <f>IFERROR(XLOOKUP(B301,'PLAYER POOL'!A:A,'PLAYER POOL'!X:X),"")</f>
        <v/>
      </c>
      <c r="K301" s="5">
        <f>IFERROR(XLOOKUP(B301,'PLAYER POOL'!A:A,'PLAYER POOL'!Y:Y),"")</f>
        <v/>
      </c>
      <c r="L301" s="5">
        <f>IF(F301="Yes",K301*IF(G301="Yes",2,1),0)</f>
        <v/>
      </c>
      <c r="M301" s="8" t="n"/>
      <c r="N301" s="8" t="n"/>
      <c r="O301" s="5">
        <f>IF(N301="","",N301-L301)</f>
        <v/>
      </c>
      <c r="P301" s="8" t="n"/>
    </row>
  </sheetData>
  <conditionalFormatting sqref="O2:O30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dataValidations count="2">
    <dataValidation sqref="F2:G301" showDropDown="0" showInputMessage="0" showErrorMessage="0" allowBlank="1" type="list">
      <formula1>"Yes,No"</formula1>
    </dataValidation>
    <dataValidation sqref="H2:H3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11" customWidth="1" min="4" max="4"/>
    <col width="42" customWidth="1" min="5" max="5"/>
    <col width="16" customWidth="1" min="6" max="6"/>
    <col width="15" customWidth="1" min="7" max="7"/>
    <col width="12" customWidth="1" min="8" max="8"/>
    <col width="16" customWidth="1" min="9" max="9"/>
    <col width="18" customWidth="1" min="10" max="10"/>
    <col width="42" customWidth="1" min="11" max="11"/>
  </cols>
  <sheetData>
    <row r="1">
      <c r="A1" s="6" t="inlineStr">
        <is>
          <t>GW</t>
        </is>
      </c>
      <c r="B1" s="6" t="inlineStr">
        <is>
          <t>OUT player</t>
        </is>
      </c>
      <c r="C1" s="6" t="inlineStr">
        <is>
          <t>OUT xP</t>
        </is>
      </c>
      <c r="D1" s="6" t="inlineStr">
        <is>
          <t>IN player</t>
        </is>
      </c>
      <c r="E1" s="6" t="inlineStr">
        <is>
          <t>IN xP</t>
        </is>
      </c>
      <c r="F1" s="6" t="inlineStr">
        <is>
          <t>Projected gain</t>
        </is>
      </c>
      <c r="G1" s="6" t="inlineStr">
        <is>
          <t>Transfer cost</t>
        </is>
      </c>
      <c r="H1" s="6" t="inlineStr">
        <is>
          <t>Net gain</t>
        </is>
      </c>
      <c r="I1" s="6" t="inlineStr">
        <is>
          <t>Price delta £m</t>
        </is>
      </c>
      <c r="J1" s="6" t="inlineStr">
        <is>
          <t>Fixture run note</t>
        </is>
      </c>
      <c r="K1" s="6" t="inlineStr">
        <is>
          <t>Decision</t>
        </is>
      </c>
    </row>
    <row r="2">
      <c r="A2" s="8" t="n"/>
      <c r="B2" s="8" t="n"/>
      <c r="C2" s="5">
        <f>IFERROR(XLOOKUP(B2,'PLAYER POOL'!A:A,'PLAYER POOL'!Y:Y),0)</f>
        <v/>
      </c>
      <c r="D2" s="8" t="n"/>
      <c r="E2" s="5">
        <f>IFERROR(XLOOKUP(D2,'PLAYER POOL'!A:A,'PLAYER POOL'!Y:Y),0)</f>
        <v/>
      </c>
      <c r="F2" s="5">
        <f>E2-C2</f>
        <v/>
      </c>
      <c r="G2" s="5" t="n">
        <v>0</v>
      </c>
      <c r="H2" s="5">
        <f>F2-G2</f>
        <v/>
      </c>
      <c r="I2" s="8" t="n"/>
      <c r="J2" s="8" t="n"/>
      <c r="K2" s="5">
        <f>IF(H2&gt;=1,"Positive edge","No clear edge")</f>
        <v/>
      </c>
    </row>
    <row r="3">
      <c r="A3" s="8" t="n"/>
      <c r="B3" s="8" t="n"/>
      <c r="C3" s="5">
        <f>IFERROR(XLOOKUP(B3,'PLAYER POOL'!A:A,'PLAYER POOL'!Y:Y),0)</f>
        <v/>
      </c>
      <c r="D3" s="8" t="n"/>
      <c r="E3" s="5">
        <f>IFERROR(XLOOKUP(D3,'PLAYER POOL'!A:A,'PLAYER POOL'!Y:Y),0)</f>
        <v/>
      </c>
      <c r="F3" s="5">
        <f>E3-C3</f>
        <v/>
      </c>
      <c r="G3" s="5" t="n">
        <v>0</v>
      </c>
      <c r="H3" s="5">
        <f>F3-G3</f>
        <v/>
      </c>
      <c r="I3" s="8" t="n"/>
      <c r="J3" s="8" t="n"/>
      <c r="K3" s="5">
        <f>IF(H3&gt;=1,"Positive edge","No clear edge")</f>
        <v/>
      </c>
    </row>
    <row r="4">
      <c r="A4" s="8" t="n"/>
      <c r="B4" s="8" t="n"/>
      <c r="C4" s="5">
        <f>IFERROR(XLOOKUP(B4,'PLAYER POOL'!A:A,'PLAYER POOL'!Y:Y),0)</f>
        <v/>
      </c>
      <c r="D4" s="8" t="n"/>
      <c r="E4" s="5">
        <f>IFERROR(XLOOKUP(D4,'PLAYER POOL'!A:A,'PLAYER POOL'!Y:Y),0)</f>
        <v/>
      </c>
      <c r="F4" s="5">
        <f>E4-C4</f>
        <v/>
      </c>
      <c r="G4" s="5" t="n">
        <v>0</v>
      </c>
      <c r="H4" s="5">
        <f>F4-G4</f>
        <v/>
      </c>
      <c r="I4" s="8" t="n"/>
      <c r="J4" s="8" t="n"/>
      <c r="K4" s="5">
        <f>IF(H4&gt;=1,"Positive edge","No clear edge")</f>
        <v/>
      </c>
    </row>
    <row r="5">
      <c r="A5" s="8" t="n"/>
      <c r="B5" s="8" t="n"/>
      <c r="C5" s="5">
        <f>IFERROR(XLOOKUP(B5,'PLAYER POOL'!A:A,'PLAYER POOL'!Y:Y),0)</f>
        <v/>
      </c>
      <c r="D5" s="8" t="n"/>
      <c r="E5" s="5">
        <f>IFERROR(XLOOKUP(D5,'PLAYER POOL'!A:A,'PLAYER POOL'!Y:Y),0)</f>
        <v/>
      </c>
      <c r="F5" s="5">
        <f>E5-C5</f>
        <v/>
      </c>
      <c r="G5" s="5" t="n">
        <v>0</v>
      </c>
      <c r="H5" s="5">
        <f>F5-G5</f>
        <v/>
      </c>
      <c r="I5" s="8" t="n"/>
      <c r="J5" s="8" t="n"/>
      <c r="K5" s="5">
        <f>IF(H5&gt;=1,"Positive edge","No clear edge")</f>
        <v/>
      </c>
    </row>
    <row r="6">
      <c r="A6" s="8" t="n"/>
      <c r="B6" s="8" t="n"/>
      <c r="C6" s="5">
        <f>IFERROR(XLOOKUP(B6,'PLAYER POOL'!A:A,'PLAYER POOL'!Y:Y),0)</f>
        <v/>
      </c>
      <c r="D6" s="8" t="n"/>
      <c r="E6" s="5">
        <f>IFERROR(XLOOKUP(D6,'PLAYER POOL'!A:A,'PLAYER POOL'!Y:Y),0)</f>
        <v/>
      </c>
      <c r="F6" s="5">
        <f>E6-C6</f>
        <v/>
      </c>
      <c r="G6" s="5" t="n">
        <v>0</v>
      </c>
      <c r="H6" s="5">
        <f>F6-G6</f>
        <v/>
      </c>
      <c r="I6" s="8" t="n"/>
      <c r="J6" s="8" t="n"/>
      <c r="K6" s="5">
        <f>IF(H6&gt;=1,"Positive edge","No clear edge")</f>
        <v/>
      </c>
    </row>
    <row r="7">
      <c r="A7" s="8" t="n"/>
      <c r="B7" s="8" t="n"/>
      <c r="C7" s="5">
        <f>IFERROR(XLOOKUP(B7,'PLAYER POOL'!A:A,'PLAYER POOL'!Y:Y),0)</f>
        <v/>
      </c>
      <c r="D7" s="8" t="n"/>
      <c r="E7" s="5">
        <f>IFERROR(XLOOKUP(D7,'PLAYER POOL'!A:A,'PLAYER POOL'!Y:Y),0)</f>
        <v/>
      </c>
      <c r="F7" s="5">
        <f>E7-C7</f>
        <v/>
      </c>
      <c r="G7" s="5" t="n">
        <v>0</v>
      </c>
      <c r="H7" s="5">
        <f>F7-G7</f>
        <v/>
      </c>
      <c r="I7" s="8" t="n"/>
      <c r="J7" s="8" t="n"/>
      <c r="K7" s="5">
        <f>IF(H7&gt;=1,"Positive edge","No clear edge")</f>
        <v/>
      </c>
    </row>
    <row r="8">
      <c r="A8" s="8" t="n"/>
      <c r="B8" s="8" t="n"/>
      <c r="C8" s="5">
        <f>IFERROR(XLOOKUP(B8,'PLAYER POOL'!A:A,'PLAYER POOL'!Y:Y),0)</f>
        <v/>
      </c>
      <c r="D8" s="8" t="n"/>
      <c r="E8" s="5">
        <f>IFERROR(XLOOKUP(D8,'PLAYER POOL'!A:A,'PLAYER POOL'!Y:Y),0)</f>
        <v/>
      </c>
      <c r="F8" s="5">
        <f>E8-C8</f>
        <v/>
      </c>
      <c r="G8" s="5" t="n">
        <v>0</v>
      </c>
      <c r="H8" s="5">
        <f>F8-G8</f>
        <v/>
      </c>
      <c r="I8" s="8" t="n"/>
      <c r="J8" s="8" t="n"/>
      <c r="K8" s="5">
        <f>IF(H8&gt;=1,"Positive edge","No clear edge")</f>
        <v/>
      </c>
    </row>
    <row r="9">
      <c r="A9" s="8" t="n"/>
      <c r="B9" s="8" t="n"/>
      <c r="C9" s="5">
        <f>IFERROR(XLOOKUP(B9,'PLAYER POOL'!A:A,'PLAYER POOL'!Y:Y),0)</f>
        <v/>
      </c>
      <c r="D9" s="8" t="n"/>
      <c r="E9" s="5">
        <f>IFERROR(XLOOKUP(D9,'PLAYER POOL'!A:A,'PLAYER POOL'!Y:Y),0)</f>
        <v/>
      </c>
      <c r="F9" s="5">
        <f>E9-C9</f>
        <v/>
      </c>
      <c r="G9" s="5" t="n">
        <v>0</v>
      </c>
      <c r="H9" s="5">
        <f>F9-G9</f>
        <v/>
      </c>
      <c r="I9" s="8" t="n"/>
      <c r="J9" s="8" t="n"/>
      <c r="K9" s="5">
        <f>IF(H9&gt;=1,"Positive edge","No clear edge")</f>
        <v/>
      </c>
    </row>
    <row r="10">
      <c r="A10" s="8" t="n"/>
      <c r="B10" s="8" t="n"/>
      <c r="C10" s="5">
        <f>IFERROR(XLOOKUP(B10,'PLAYER POOL'!A:A,'PLAYER POOL'!Y:Y),0)</f>
        <v/>
      </c>
      <c r="D10" s="8" t="n"/>
      <c r="E10" s="5">
        <f>IFERROR(XLOOKUP(D10,'PLAYER POOL'!A:A,'PLAYER POOL'!Y:Y),0)</f>
        <v/>
      </c>
      <c r="F10" s="5">
        <f>E10-C10</f>
        <v/>
      </c>
      <c r="G10" s="5" t="n">
        <v>0</v>
      </c>
      <c r="H10" s="5">
        <f>F10-G10</f>
        <v/>
      </c>
      <c r="I10" s="8" t="n"/>
      <c r="J10" s="8" t="n"/>
      <c r="K10" s="5">
        <f>IF(H10&gt;=1,"Positive edge","No clear edge")</f>
        <v/>
      </c>
    </row>
    <row r="11">
      <c r="A11" s="8" t="n"/>
      <c r="B11" s="8" t="n"/>
      <c r="C11" s="5">
        <f>IFERROR(XLOOKUP(B11,'PLAYER POOL'!A:A,'PLAYER POOL'!Y:Y),0)</f>
        <v/>
      </c>
      <c r="D11" s="8" t="n"/>
      <c r="E11" s="5">
        <f>IFERROR(XLOOKUP(D11,'PLAYER POOL'!A:A,'PLAYER POOL'!Y:Y),0)</f>
        <v/>
      </c>
      <c r="F11" s="5">
        <f>E11-C11</f>
        <v/>
      </c>
      <c r="G11" s="5" t="n">
        <v>0</v>
      </c>
      <c r="H11" s="5">
        <f>F11-G11</f>
        <v/>
      </c>
      <c r="I11" s="8" t="n"/>
      <c r="J11" s="8" t="n"/>
      <c r="K11" s="5">
        <f>IF(H11&gt;=1,"Positive edge","No clear edge")</f>
        <v/>
      </c>
    </row>
    <row r="12">
      <c r="A12" s="8" t="n"/>
      <c r="B12" s="8" t="n"/>
      <c r="C12" s="5">
        <f>IFERROR(XLOOKUP(B12,'PLAYER POOL'!A:A,'PLAYER POOL'!Y:Y),0)</f>
        <v/>
      </c>
      <c r="D12" s="8" t="n"/>
      <c r="E12" s="5">
        <f>IFERROR(XLOOKUP(D12,'PLAYER POOL'!A:A,'PLAYER POOL'!Y:Y),0)</f>
        <v/>
      </c>
      <c r="F12" s="5">
        <f>E12-C12</f>
        <v/>
      </c>
      <c r="G12" s="5" t="n">
        <v>0</v>
      </c>
      <c r="H12" s="5">
        <f>F12-G12</f>
        <v/>
      </c>
      <c r="I12" s="8" t="n"/>
      <c r="J12" s="8" t="n"/>
      <c r="K12" s="5">
        <f>IF(H12&gt;=1,"Positive edge","No clear edge")</f>
        <v/>
      </c>
    </row>
    <row r="13">
      <c r="A13" s="8" t="n"/>
      <c r="B13" s="8" t="n"/>
      <c r="C13" s="5">
        <f>IFERROR(XLOOKUP(B13,'PLAYER POOL'!A:A,'PLAYER POOL'!Y:Y),0)</f>
        <v/>
      </c>
      <c r="D13" s="8" t="n"/>
      <c r="E13" s="5">
        <f>IFERROR(XLOOKUP(D13,'PLAYER POOL'!A:A,'PLAYER POOL'!Y:Y),0)</f>
        <v/>
      </c>
      <c r="F13" s="5">
        <f>E13-C13</f>
        <v/>
      </c>
      <c r="G13" s="5" t="n">
        <v>0</v>
      </c>
      <c r="H13" s="5">
        <f>F13-G13</f>
        <v/>
      </c>
      <c r="I13" s="8" t="n"/>
      <c r="J13" s="8" t="n"/>
      <c r="K13" s="5">
        <f>IF(H13&gt;=1,"Positive edge","No clear edge")</f>
        <v/>
      </c>
    </row>
    <row r="14">
      <c r="A14" s="8" t="n"/>
      <c r="B14" s="8" t="n"/>
      <c r="C14" s="5">
        <f>IFERROR(XLOOKUP(B14,'PLAYER POOL'!A:A,'PLAYER POOL'!Y:Y),0)</f>
        <v/>
      </c>
      <c r="D14" s="8" t="n"/>
      <c r="E14" s="5">
        <f>IFERROR(XLOOKUP(D14,'PLAYER POOL'!A:A,'PLAYER POOL'!Y:Y),0)</f>
        <v/>
      </c>
      <c r="F14" s="5">
        <f>E14-C14</f>
        <v/>
      </c>
      <c r="G14" s="5" t="n">
        <v>0</v>
      </c>
      <c r="H14" s="5">
        <f>F14-G14</f>
        <v/>
      </c>
      <c r="I14" s="8" t="n"/>
      <c r="J14" s="8" t="n"/>
      <c r="K14" s="5">
        <f>IF(H14&gt;=1,"Positive edge","No clear edge")</f>
        <v/>
      </c>
    </row>
    <row r="15">
      <c r="A15" s="8" t="n"/>
      <c r="B15" s="8" t="n"/>
      <c r="C15" s="5">
        <f>IFERROR(XLOOKUP(B15,'PLAYER POOL'!A:A,'PLAYER POOL'!Y:Y),0)</f>
        <v/>
      </c>
      <c r="D15" s="8" t="n"/>
      <c r="E15" s="5">
        <f>IFERROR(XLOOKUP(D15,'PLAYER POOL'!A:A,'PLAYER POOL'!Y:Y),0)</f>
        <v/>
      </c>
      <c r="F15" s="5">
        <f>E15-C15</f>
        <v/>
      </c>
      <c r="G15" s="5" t="n">
        <v>0</v>
      </c>
      <c r="H15" s="5">
        <f>F15-G15</f>
        <v/>
      </c>
      <c r="I15" s="8" t="n"/>
      <c r="J15" s="8" t="n"/>
      <c r="K15" s="5">
        <f>IF(H15&gt;=1,"Positive edge","No clear edge")</f>
        <v/>
      </c>
    </row>
    <row r="16">
      <c r="A16" s="8" t="n"/>
      <c r="B16" s="8" t="n"/>
      <c r="C16" s="5">
        <f>IFERROR(XLOOKUP(B16,'PLAYER POOL'!A:A,'PLAYER POOL'!Y:Y),0)</f>
        <v/>
      </c>
      <c r="D16" s="8" t="n"/>
      <c r="E16" s="5">
        <f>IFERROR(XLOOKUP(D16,'PLAYER POOL'!A:A,'PLAYER POOL'!Y:Y),0)</f>
        <v/>
      </c>
      <c r="F16" s="5">
        <f>E16-C16</f>
        <v/>
      </c>
      <c r="G16" s="5" t="n">
        <v>0</v>
      </c>
      <c r="H16" s="5">
        <f>F16-G16</f>
        <v/>
      </c>
      <c r="I16" s="8" t="n"/>
      <c r="J16" s="8" t="n"/>
      <c r="K16" s="5">
        <f>IF(H16&gt;=1,"Positive edge","No clear edge")</f>
        <v/>
      </c>
    </row>
    <row r="17">
      <c r="A17" s="8" t="n"/>
      <c r="B17" s="8" t="n"/>
      <c r="C17" s="5">
        <f>IFERROR(XLOOKUP(B17,'PLAYER POOL'!A:A,'PLAYER POOL'!Y:Y),0)</f>
        <v/>
      </c>
      <c r="D17" s="8" t="n"/>
      <c r="E17" s="5">
        <f>IFERROR(XLOOKUP(D17,'PLAYER POOL'!A:A,'PLAYER POOL'!Y:Y),0)</f>
        <v/>
      </c>
      <c r="F17" s="5">
        <f>E17-C17</f>
        <v/>
      </c>
      <c r="G17" s="5" t="n">
        <v>0</v>
      </c>
      <c r="H17" s="5">
        <f>F17-G17</f>
        <v/>
      </c>
      <c r="I17" s="8" t="n"/>
      <c r="J17" s="8" t="n"/>
      <c r="K17" s="5">
        <f>IF(H17&gt;=1,"Positive edge","No clear edge")</f>
        <v/>
      </c>
    </row>
    <row r="18">
      <c r="A18" s="8" t="n"/>
      <c r="B18" s="8" t="n"/>
      <c r="C18" s="5">
        <f>IFERROR(XLOOKUP(B18,'PLAYER POOL'!A:A,'PLAYER POOL'!Y:Y),0)</f>
        <v/>
      </c>
      <c r="D18" s="8" t="n"/>
      <c r="E18" s="5">
        <f>IFERROR(XLOOKUP(D18,'PLAYER POOL'!A:A,'PLAYER POOL'!Y:Y),0)</f>
        <v/>
      </c>
      <c r="F18" s="5">
        <f>E18-C18</f>
        <v/>
      </c>
      <c r="G18" s="5" t="n">
        <v>0</v>
      </c>
      <c r="H18" s="5">
        <f>F18-G18</f>
        <v/>
      </c>
      <c r="I18" s="8" t="n"/>
      <c r="J18" s="8" t="n"/>
      <c r="K18" s="5">
        <f>IF(H18&gt;=1,"Positive edge","No clear edge")</f>
        <v/>
      </c>
    </row>
    <row r="19">
      <c r="A19" s="8" t="n"/>
      <c r="B19" s="8" t="n"/>
      <c r="C19" s="5">
        <f>IFERROR(XLOOKUP(B19,'PLAYER POOL'!A:A,'PLAYER POOL'!Y:Y),0)</f>
        <v/>
      </c>
      <c r="D19" s="8" t="n"/>
      <c r="E19" s="5">
        <f>IFERROR(XLOOKUP(D19,'PLAYER POOL'!A:A,'PLAYER POOL'!Y:Y),0)</f>
        <v/>
      </c>
      <c r="F19" s="5">
        <f>E19-C19</f>
        <v/>
      </c>
      <c r="G19" s="5" t="n">
        <v>0</v>
      </c>
      <c r="H19" s="5">
        <f>F19-G19</f>
        <v/>
      </c>
      <c r="I19" s="8" t="n"/>
      <c r="J19" s="8" t="n"/>
      <c r="K19" s="5">
        <f>IF(H19&gt;=1,"Positive edge","No clear edge")</f>
        <v/>
      </c>
    </row>
    <row r="20">
      <c r="A20" s="8" t="n"/>
      <c r="B20" s="8" t="n"/>
      <c r="C20" s="5">
        <f>IFERROR(XLOOKUP(B20,'PLAYER POOL'!A:A,'PLAYER POOL'!Y:Y),0)</f>
        <v/>
      </c>
      <c r="D20" s="8" t="n"/>
      <c r="E20" s="5">
        <f>IFERROR(XLOOKUP(D20,'PLAYER POOL'!A:A,'PLAYER POOL'!Y:Y),0)</f>
        <v/>
      </c>
      <c r="F20" s="5">
        <f>E20-C20</f>
        <v/>
      </c>
      <c r="G20" s="5" t="n">
        <v>0</v>
      </c>
      <c r="H20" s="5">
        <f>F20-G20</f>
        <v/>
      </c>
      <c r="I20" s="8" t="n"/>
      <c r="J20" s="8" t="n"/>
      <c r="K20" s="5">
        <f>IF(H20&gt;=1,"Positive edge","No clear edge")</f>
        <v/>
      </c>
    </row>
    <row r="21">
      <c r="A21" s="8" t="n"/>
      <c r="B21" s="8" t="n"/>
      <c r="C21" s="5">
        <f>IFERROR(XLOOKUP(B21,'PLAYER POOL'!A:A,'PLAYER POOL'!Y:Y),0)</f>
        <v/>
      </c>
      <c r="D21" s="8" t="n"/>
      <c r="E21" s="5">
        <f>IFERROR(XLOOKUP(D21,'PLAYER POOL'!A:A,'PLAYER POOL'!Y:Y),0)</f>
        <v/>
      </c>
      <c r="F21" s="5">
        <f>E21-C21</f>
        <v/>
      </c>
      <c r="G21" s="5" t="n">
        <v>0</v>
      </c>
      <c r="H21" s="5">
        <f>F21-G21</f>
        <v/>
      </c>
      <c r="I21" s="8" t="n"/>
      <c r="J21" s="8" t="n"/>
      <c r="K21" s="5">
        <f>IF(H21&gt;=1,"Positive edge","No clear edge")</f>
        <v/>
      </c>
    </row>
    <row r="22">
      <c r="A22" s="8" t="n"/>
      <c r="B22" s="8" t="n"/>
      <c r="C22" s="5">
        <f>IFERROR(XLOOKUP(B22,'PLAYER POOL'!A:A,'PLAYER POOL'!Y:Y),0)</f>
        <v/>
      </c>
      <c r="D22" s="8" t="n"/>
      <c r="E22" s="5">
        <f>IFERROR(XLOOKUP(D22,'PLAYER POOL'!A:A,'PLAYER POOL'!Y:Y),0)</f>
        <v/>
      </c>
      <c r="F22" s="5">
        <f>E22-C22</f>
        <v/>
      </c>
      <c r="G22" s="5" t="n">
        <v>0</v>
      </c>
      <c r="H22" s="5">
        <f>F22-G22</f>
        <v/>
      </c>
      <c r="I22" s="8" t="n"/>
      <c r="J22" s="8" t="n"/>
      <c r="K22" s="5">
        <f>IF(H22&gt;=1,"Positive edge","No clear edge")</f>
        <v/>
      </c>
    </row>
    <row r="23">
      <c r="A23" s="8" t="n"/>
      <c r="B23" s="8" t="n"/>
      <c r="C23" s="5">
        <f>IFERROR(XLOOKUP(B23,'PLAYER POOL'!A:A,'PLAYER POOL'!Y:Y),0)</f>
        <v/>
      </c>
      <c r="D23" s="8" t="n"/>
      <c r="E23" s="5">
        <f>IFERROR(XLOOKUP(D23,'PLAYER POOL'!A:A,'PLAYER POOL'!Y:Y),0)</f>
        <v/>
      </c>
      <c r="F23" s="5">
        <f>E23-C23</f>
        <v/>
      </c>
      <c r="G23" s="5" t="n">
        <v>0</v>
      </c>
      <c r="H23" s="5">
        <f>F23-G23</f>
        <v/>
      </c>
      <c r="I23" s="8" t="n"/>
      <c r="J23" s="8" t="n"/>
      <c r="K23" s="5">
        <f>IF(H23&gt;=1,"Positive edge","No clear edge")</f>
        <v/>
      </c>
    </row>
    <row r="24">
      <c r="A24" s="8" t="n"/>
      <c r="B24" s="8" t="n"/>
      <c r="C24" s="5">
        <f>IFERROR(XLOOKUP(B24,'PLAYER POOL'!A:A,'PLAYER POOL'!Y:Y),0)</f>
        <v/>
      </c>
      <c r="D24" s="8" t="n"/>
      <c r="E24" s="5">
        <f>IFERROR(XLOOKUP(D24,'PLAYER POOL'!A:A,'PLAYER POOL'!Y:Y),0)</f>
        <v/>
      </c>
      <c r="F24" s="5">
        <f>E24-C24</f>
        <v/>
      </c>
      <c r="G24" s="5" t="n">
        <v>0</v>
      </c>
      <c r="H24" s="5">
        <f>F24-G24</f>
        <v/>
      </c>
      <c r="I24" s="8" t="n"/>
      <c r="J24" s="8" t="n"/>
      <c r="K24" s="5">
        <f>IF(H24&gt;=1,"Positive edge","No clear edge")</f>
        <v/>
      </c>
    </row>
    <row r="25">
      <c r="A25" s="8" t="n"/>
      <c r="B25" s="8" t="n"/>
      <c r="C25" s="5">
        <f>IFERROR(XLOOKUP(B25,'PLAYER POOL'!A:A,'PLAYER POOL'!Y:Y),0)</f>
        <v/>
      </c>
      <c r="D25" s="8" t="n"/>
      <c r="E25" s="5">
        <f>IFERROR(XLOOKUP(D25,'PLAYER POOL'!A:A,'PLAYER POOL'!Y:Y),0)</f>
        <v/>
      </c>
      <c r="F25" s="5">
        <f>E25-C25</f>
        <v/>
      </c>
      <c r="G25" s="5" t="n">
        <v>0</v>
      </c>
      <c r="H25" s="5">
        <f>F25-G25</f>
        <v/>
      </c>
      <c r="I25" s="8" t="n"/>
      <c r="J25" s="8" t="n"/>
      <c r="K25" s="5">
        <f>IF(H25&gt;=1,"Positive edge","No clear edge")</f>
        <v/>
      </c>
    </row>
    <row r="26">
      <c r="A26" s="8" t="n"/>
      <c r="B26" s="8" t="n"/>
      <c r="C26" s="5">
        <f>IFERROR(XLOOKUP(B26,'PLAYER POOL'!A:A,'PLAYER POOL'!Y:Y),0)</f>
        <v/>
      </c>
      <c r="D26" s="8" t="n"/>
      <c r="E26" s="5">
        <f>IFERROR(XLOOKUP(D26,'PLAYER POOL'!A:A,'PLAYER POOL'!Y:Y),0)</f>
        <v/>
      </c>
      <c r="F26" s="5">
        <f>E26-C26</f>
        <v/>
      </c>
      <c r="G26" s="5" t="n">
        <v>0</v>
      </c>
      <c r="H26" s="5">
        <f>F26-G26</f>
        <v/>
      </c>
      <c r="I26" s="8" t="n"/>
      <c r="J26" s="8" t="n"/>
      <c r="K26" s="5">
        <f>IF(H26&gt;=1,"Positive edge","No clear edge")</f>
        <v/>
      </c>
    </row>
    <row r="27">
      <c r="A27" s="8" t="n"/>
      <c r="B27" s="8" t="n"/>
      <c r="C27" s="5">
        <f>IFERROR(XLOOKUP(B27,'PLAYER POOL'!A:A,'PLAYER POOL'!Y:Y),0)</f>
        <v/>
      </c>
      <c r="D27" s="8" t="n"/>
      <c r="E27" s="5">
        <f>IFERROR(XLOOKUP(D27,'PLAYER POOL'!A:A,'PLAYER POOL'!Y:Y),0)</f>
        <v/>
      </c>
      <c r="F27" s="5">
        <f>E27-C27</f>
        <v/>
      </c>
      <c r="G27" s="5" t="n">
        <v>0</v>
      </c>
      <c r="H27" s="5">
        <f>F27-G27</f>
        <v/>
      </c>
      <c r="I27" s="8" t="n"/>
      <c r="J27" s="8" t="n"/>
      <c r="K27" s="5">
        <f>IF(H27&gt;=1,"Positive edge","No clear edge")</f>
        <v/>
      </c>
    </row>
    <row r="28">
      <c r="A28" s="8" t="n"/>
      <c r="B28" s="8" t="n"/>
      <c r="C28" s="5">
        <f>IFERROR(XLOOKUP(B28,'PLAYER POOL'!A:A,'PLAYER POOL'!Y:Y),0)</f>
        <v/>
      </c>
      <c r="D28" s="8" t="n"/>
      <c r="E28" s="5">
        <f>IFERROR(XLOOKUP(D28,'PLAYER POOL'!A:A,'PLAYER POOL'!Y:Y),0)</f>
        <v/>
      </c>
      <c r="F28" s="5">
        <f>E28-C28</f>
        <v/>
      </c>
      <c r="G28" s="5" t="n">
        <v>0</v>
      </c>
      <c r="H28" s="5">
        <f>F28-G28</f>
        <v/>
      </c>
      <c r="I28" s="8" t="n"/>
      <c r="J28" s="8" t="n"/>
      <c r="K28" s="5">
        <f>IF(H28&gt;=1,"Positive edge","No clear edge")</f>
        <v/>
      </c>
    </row>
    <row r="29">
      <c r="A29" s="8" t="n"/>
      <c r="B29" s="8" t="n"/>
      <c r="C29" s="5">
        <f>IFERROR(XLOOKUP(B29,'PLAYER POOL'!A:A,'PLAYER POOL'!Y:Y),0)</f>
        <v/>
      </c>
      <c r="D29" s="8" t="n"/>
      <c r="E29" s="5">
        <f>IFERROR(XLOOKUP(D29,'PLAYER POOL'!A:A,'PLAYER POOL'!Y:Y),0)</f>
        <v/>
      </c>
      <c r="F29" s="5">
        <f>E29-C29</f>
        <v/>
      </c>
      <c r="G29" s="5" t="n">
        <v>0</v>
      </c>
      <c r="H29" s="5">
        <f>F29-G29</f>
        <v/>
      </c>
      <c r="I29" s="8" t="n"/>
      <c r="J29" s="8" t="n"/>
      <c r="K29" s="5">
        <f>IF(H29&gt;=1,"Positive edge","No clear edge")</f>
        <v/>
      </c>
    </row>
    <row r="30">
      <c r="A30" s="8" t="n"/>
      <c r="B30" s="8" t="n"/>
      <c r="C30" s="5">
        <f>IFERROR(XLOOKUP(B30,'PLAYER POOL'!A:A,'PLAYER POOL'!Y:Y),0)</f>
        <v/>
      </c>
      <c r="D30" s="8" t="n"/>
      <c r="E30" s="5">
        <f>IFERROR(XLOOKUP(D30,'PLAYER POOL'!A:A,'PLAYER POOL'!Y:Y),0)</f>
        <v/>
      </c>
      <c r="F30" s="5">
        <f>E30-C30</f>
        <v/>
      </c>
      <c r="G30" s="5" t="n">
        <v>0</v>
      </c>
      <c r="H30" s="5">
        <f>F30-G30</f>
        <v/>
      </c>
      <c r="I30" s="8" t="n"/>
      <c r="J30" s="8" t="n"/>
      <c r="K30" s="5">
        <f>IF(H30&gt;=1,"Positive edge","No clear edge")</f>
        <v/>
      </c>
    </row>
    <row r="31">
      <c r="A31" s="8" t="n"/>
      <c r="B31" s="8" t="n"/>
      <c r="C31" s="5">
        <f>IFERROR(XLOOKUP(B31,'PLAYER POOL'!A:A,'PLAYER POOL'!Y:Y),0)</f>
        <v/>
      </c>
      <c r="D31" s="8" t="n"/>
      <c r="E31" s="5">
        <f>IFERROR(XLOOKUP(D31,'PLAYER POOL'!A:A,'PLAYER POOL'!Y:Y),0)</f>
        <v/>
      </c>
      <c r="F31" s="5">
        <f>E31-C31</f>
        <v/>
      </c>
      <c r="G31" s="5" t="n">
        <v>0</v>
      </c>
      <c r="H31" s="5">
        <f>F31-G31</f>
        <v/>
      </c>
      <c r="I31" s="8" t="n"/>
      <c r="J31" s="8" t="n"/>
      <c r="K31" s="5">
        <f>IF(H31&gt;=1,"Positive edge","No clear edge")</f>
        <v/>
      </c>
    </row>
    <row r="32">
      <c r="A32" s="8" t="n"/>
      <c r="B32" s="8" t="n"/>
      <c r="C32" s="5">
        <f>IFERROR(XLOOKUP(B32,'PLAYER POOL'!A:A,'PLAYER POOL'!Y:Y),0)</f>
        <v/>
      </c>
      <c r="D32" s="8" t="n"/>
      <c r="E32" s="5">
        <f>IFERROR(XLOOKUP(D32,'PLAYER POOL'!A:A,'PLAYER POOL'!Y:Y),0)</f>
        <v/>
      </c>
      <c r="F32" s="5">
        <f>E32-C32</f>
        <v/>
      </c>
      <c r="G32" s="5" t="n">
        <v>0</v>
      </c>
      <c r="H32" s="5">
        <f>F32-G32</f>
        <v/>
      </c>
      <c r="I32" s="8" t="n"/>
      <c r="J32" s="8" t="n"/>
      <c r="K32" s="5">
        <f>IF(H32&gt;=1,"Positive edge","No clear edge")</f>
        <v/>
      </c>
    </row>
    <row r="33">
      <c r="A33" s="8" t="n"/>
      <c r="B33" s="8" t="n"/>
      <c r="C33" s="5">
        <f>IFERROR(XLOOKUP(B33,'PLAYER POOL'!A:A,'PLAYER POOL'!Y:Y),0)</f>
        <v/>
      </c>
      <c r="D33" s="8" t="n"/>
      <c r="E33" s="5">
        <f>IFERROR(XLOOKUP(D33,'PLAYER POOL'!A:A,'PLAYER POOL'!Y:Y),0)</f>
        <v/>
      </c>
      <c r="F33" s="5">
        <f>E33-C33</f>
        <v/>
      </c>
      <c r="G33" s="5" t="n">
        <v>0</v>
      </c>
      <c r="H33" s="5">
        <f>F33-G33</f>
        <v/>
      </c>
      <c r="I33" s="8" t="n"/>
      <c r="J33" s="8" t="n"/>
      <c r="K33" s="5">
        <f>IF(H33&gt;=1,"Positive edge","No clear edge")</f>
        <v/>
      </c>
    </row>
    <row r="34">
      <c r="A34" s="8" t="n"/>
      <c r="B34" s="8" t="n"/>
      <c r="C34" s="5">
        <f>IFERROR(XLOOKUP(B34,'PLAYER POOL'!A:A,'PLAYER POOL'!Y:Y),0)</f>
        <v/>
      </c>
      <c r="D34" s="8" t="n"/>
      <c r="E34" s="5">
        <f>IFERROR(XLOOKUP(D34,'PLAYER POOL'!A:A,'PLAYER POOL'!Y:Y),0)</f>
        <v/>
      </c>
      <c r="F34" s="5">
        <f>E34-C34</f>
        <v/>
      </c>
      <c r="G34" s="5" t="n">
        <v>0</v>
      </c>
      <c r="H34" s="5">
        <f>F34-G34</f>
        <v/>
      </c>
      <c r="I34" s="8" t="n"/>
      <c r="J34" s="8" t="n"/>
      <c r="K34" s="5">
        <f>IF(H34&gt;=1,"Positive edge","No clear edge")</f>
        <v/>
      </c>
    </row>
    <row r="35">
      <c r="A35" s="8" t="n"/>
      <c r="B35" s="8" t="n"/>
      <c r="C35" s="5">
        <f>IFERROR(XLOOKUP(B35,'PLAYER POOL'!A:A,'PLAYER POOL'!Y:Y),0)</f>
        <v/>
      </c>
      <c r="D35" s="8" t="n"/>
      <c r="E35" s="5">
        <f>IFERROR(XLOOKUP(D35,'PLAYER POOL'!A:A,'PLAYER POOL'!Y:Y),0)</f>
        <v/>
      </c>
      <c r="F35" s="5">
        <f>E35-C35</f>
        <v/>
      </c>
      <c r="G35" s="5" t="n">
        <v>0</v>
      </c>
      <c r="H35" s="5">
        <f>F35-G35</f>
        <v/>
      </c>
      <c r="I35" s="8" t="n"/>
      <c r="J35" s="8" t="n"/>
      <c r="K35" s="5">
        <f>IF(H35&gt;=1,"Positive edge","No clear edge")</f>
        <v/>
      </c>
    </row>
    <row r="36">
      <c r="A36" s="8" t="n"/>
      <c r="B36" s="8" t="n"/>
      <c r="C36" s="5">
        <f>IFERROR(XLOOKUP(B36,'PLAYER POOL'!A:A,'PLAYER POOL'!Y:Y),0)</f>
        <v/>
      </c>
      <c r="D36" s="8" t="n"/>
      <c r="E36" s="5">
        <f>IFERROR(XLOOKUP(D36,'PLAYER POOL'!A:A,'PLAYER POOL'!Y:Y),0)</f>
        <v/>
      </c>
      <c r="F36" s="5">
        <f>E36-C36</f>
        <v/>
      </c>
      <c r="G36" s="5" t="n">
        <v>0</v>
      </c>
      <c r="H36" s="5">
        <f>F36-G36</f>
        <v/>
      </c>
      <c r="I36" s="8" t="n"/>
      <c r="J36" s="8" t="n"/>
      <c r="K36" s="5">
        <f>IF(H36&gt;=1,"Positive edge","No clear edge")</f>
        <v/>
      </c>
    </row>
    <row r="37">
      <c r="A37" s="8" t="n"/>
      <c r="B37" s="8" t="n"/>
      <c r="C37" s="5">
        <f>IFERROR(XLOOKUP(B37,'PLAYER POOL'!A:A,'PLAYER POOL'!Y:Y),0)</f>
        <v/>
      </c>
      <c r="D37" s="8" t="n"/>
      <c r="E37" s="5">
        <f>IFERROR(XLOOKUP(D37,'PLAYER POOL'!A:A,'PLAYER POOL'!Y:Y),0)</f>
        <v/>
      </c>
      <c r="F37" s="5">
        <f>E37-C37</f>
        <v/>
      </c>
      <c r="G37" s="5" t="n">
        <v>0</v>
      </c>
      <c r="H37" s="5">
        <f>F37-G37</f>
        <v/>
      </c>
      <c r="I37" s="8" t="n"/>
      <c r="J37" s="8" t="n"/>
      <c r="K37" s="5">
        <f>IF(H37&gt;=1,"Positive edge","No clear edge")</f>
        <v/>
      </c>
    </row>
    <row r="38">
      <c r="A38" s="8" t="n"/>
      <c r="B38" s="8" t="n"/>
      <c r="C38" s="5">
        <f>IFERROR(XLOOKUP(B38,'PLAYER POOL'!A:A,'PLAYER POOL'!Y:Y),0)</f>
        <v/>
      </c>
      <c r="D38" s="8" t="n"/>
      <c r="E38" s="5">
        <f>IFERROR(XLOOKUP(D38,'PLAYER POOL'!A:A,'PLAYER POOL'!Y:Y),0)</f>
        <v/>
      </c>
      <c r="F38" s="5">
        <f>E38-C38</f>
        <v/>
      </c>
      <c r="G38" s="5" t="n">
        <v>0</v>
      </c>
      <c r="H38" s="5">
        <f>F38-G38</f>
        <v/>
      </c>
      <c r="I38" s="8" t="n"/>
      <c r="J38" s="8" t="n"/>
      <c r="K38" s="5">
        <f>IF(H38&gt;=1,"Positive edge","No clear edge")</f>
        <v/>
      </c>
    </row>
    <row r="39">
      <c r="A39" s="8" t="n"/>
      <c r="B39" s="8" t="n"/>
      <c r="C39" s="5">
        <f>IFERROR(XLOOKUP(B39,'PLAYER POOL'!A:A,'PLAYER POOL'!Y:Y),0)</f>
        <v/>
      </c>
      <c r="D39" s="8" t="n"/>
      <c r="E39" s="5">
        <f>IFERROR(XLOOKUP(D39,'PLAYER POOL'!A:A,'PLAYER POOL'!Y:Y),0)</f>
        <v/>
      </c>
      <c r="F39" s="5">
        <f>E39-C39</f>
        <v/>
      </c>
      <c r="G39" s="5" t="n">
        <v>0</v>
      </c>
      <c r="H39" s="5">
        <f>F39-G39</f>
        <v/>
      </c>
      <c r="I39" s="8" t="n"/>
      <c r="J39" s="8" t="n"/>
      <c r="K39" s="5">
        <f>IF(H39&gt;=1,"Positive edge","No clear edge")</f>
        <v/>
      </c>
    </row>
    <row r="40">
      <c r="A40" s="8" t="n"/>
      <c r="B40" s="8" t="n"/>
      <c r="C40" s="5">
        <f>IFERROR(XLOOKUP(B40,'PLAYER POOL'!A:A,'PLAYER POOL'!Y:Y),0)</f>
        <v/>
      </c>
      <c r="D40" s="8" t="n"/>
      <c r="E40" s="5">
        <f>IFERROR(XLOOKUP(D40,'PLAYER POOL'!A:A,'PLAYER POOL'!Y:Y),0)</f>
        <v/>
      </c>
      <c r="F40" s="5">
        <f>E40-C40</f>
        <v/>
      </c>
      <c r="G40" s="5" t="n">
        <v>0</v>
      </c>
      <c r="H40" s="5">
        <f>F40-G40</f>
        <v/>
      </c>
      <c r="I40" s="8" t="n"/>
      <c r="J40" s="8" t="n"/>
      <c r="K40" s="5">
        <f>IF(H40&gt;=1,"Positive edge","No clear edge")</f>
        <v/>
      </c>
    </row>
    <row r="41">
      <c r="A41" s="8" t="n"/>
      <c r="B41" s="8" t="n"/>
      <c r="C41" s="5">
        <f>IFERROR(XLOOKUP(B41,'PLAYER POOL'!A:A,'PLAYER POOL'!Y:Y),0)</f>
        <v/>
      </c>
      <c r="D41" s="8" t="n"/>
      <c r="E41" s="5">
        <f>IFERROR(XLOOKUP(D41,'PLAYER POOL'!A:A,'PLAYER POOL'!Y:Y),0)</f>
        <v/>
      </c>
      <c r="F41" s="5">
        <f>E41-C41</f>
        <v/>
      </c>
      <c r="G41" s="5" t="n">
        <v>0</v>
      </c>
      <c r="H41" s="5">
        <f>F41-G41</f>
        <v/>
      </c>
      <c r="I41" s="8" t="n"/>
      <c r="J41" s="8" t="n"/>
      <c r="K41" s="5">
        <f>IF(H41&gt;=1,"Positive edge","No clear edge")</f>
        <v/>
      </c>
    </row>
    <row r="42">
      <c r="A42" s="8" t="n"/>
      <c r="B42" s="8" t="n"/>
      <c r="C42" s="5">
        <f>IFERROR(XLOOKUP(B42,'PLAYER POOL'!A:A,'PLAYER POOL'!Y:Y),0)</f>
        <v/>
      </c>
      <c r="D42" s="8" t="n"/>
      <c r="E42" s="5">
        <f>IFERROR(XLOOKUP(D42,'PLAYER POOL'!A:A,'PLAYER POOL'!Y:Y),0)</f>
        <v/>
      </c>
      <c r="F42" s="5">
        <f>E42-C42</f>
        <v/>
      </c>
      <c r="G42" s="5" t="n">
        <v>0</v>
      </c>
      <c r="H42" s="5">
        <f>F42-G42</f>
        <v/>
      </c>
      <c r="I42" s="8" t="n"/>
      <c r="J42" s="8" t="n"/>
      <c r="K42" s="5">
        <f>IF(H42&gt;=1,"Positive edge","No clear edge")</f>
        <v/>
      </c>
    </row>
    <row r="43">
      <c r="A43" s="8" t="n"/>
      <c r="B43" s="8" t="n"/>
      <c r="C43" s="5">
        <f>IFERROR(XLOOKUP(B43,'PLAYER POOL'!A:A,'PLAYER POOL'!Y:Y),0)</f>
        <v/>
      </c>
      <c r="D43" s="8" t="n"/>
      <c r="E43" s="5">
        <f>IFERROR(XLOOKUP(D43,'PLAYER POOL'!A:A,'PLAYER POOL'!Y:Y),0)</f>
        <v/>
      </c>
      <c r="F43" s="5">
        <f>E43-C43</f>
        <v/>
      </c>
      <c r="G43" s="5" t="n">
        <v>0</v>
      </c>
      <c r="H43" s="5">
        <f>F43-G43</f>
        <v/>
      </c>
      <c r="I43" s="8" t="n"/>
      <c r="J43" s="8" t="n"/>
      <c r="K43" s="5">
        <f>IF(H43&gt;=1,"Positive edge","No clear edge")</f>
        <v/>
      </c>
    </row>
    <row r="44">
      <c r="A44" s="8" t="n"/>
      <c r="B44" s="8" t="n"/>
      <c r="C44" s="5">
        <f>IFERROR(XLOOKUP(B44,'PLAYER POOL'!A:A,'PLAYER POOL'!Y:Y),0)</f>
        <v/>
      </c>
      <c r="D44" s="8" t="n"/>
      <c r="E44" s="5">
        <f>IFERROR(XLOOKUP(D44,'PLAYER POOL'!A:A,'PLAYER POOL'!Y:Y),0)</f>
        <v/>
      </c>
      <c r="F44" s="5">
        <f>E44-C44</f>
        <v/>
      </c>
      <c r="G44" s="5" t="n">
        <v>0</v>
      </c>
      <c r="H44" s="5">
        <f>F44-G44</f>
        <v/>
      </c>
      <c r="I44" s="8" t="n"/>
      <c r="J44" s="8" t="n"/>
      <c r="K44" s="5">
        <f>IF(H44&gt;=1,"Positive edge","No clear edge")</f>
        <v/>
      </c>
    </row>
    <row r="45">
      <c r="A45" s="8" t="n"/>
      <c r="B45" s="8" t="n"/>
      <c r="C45" s="5">
        <f>IFERROR(XLOOKUP(B45,'PLAYER POOL'!A:A,'PLAYER POOL'!Y:Y),0)</f>
        <v/>
      </c>
      <c r="D45" s="8" t="n"/>
      <c r="E45" s="5">
        <f>IFERROR(XLOOKUP(D45,'PLAYER POOL'!A:A,'PLAYER POOL'!Y:Y),0)</f>
        <v/>
      </c>
      <c r="F45" s="5">
        <f>E45-C45</f>
        <v/>
      </c>
      <c r="G45" s="5" t="n">
        <v>0</v>
      </c>
      <c r="H45" s="5">
        <f>F45-G45</f>
        <v/>
      </c>
      <c r="I45" s="8" t="n"/>
      <c r="J45" s="8" t="n"/>
      <c r="K45" s="5">
        <f>IF(H45&gt;=1,"Positive edge","No clear edge")</f>
        <v/>
      </c>
    </row>
    <row r="46">
      <c r="A46" s="8" t="n"/>
      <c r="B46" s="8" t="n"/>
      <c r="C46" s="5">
        <f>IFERROR(XLOOKUP(B46,'PLAYER POOL'!A:A,'PLAYER POOL'!Y:Y),0)</f>
        <v/>
      </c>
      <c r="D46" s="8" t="n"/>
      <c r="E46" s="5">
        <f>IFERROR(XLOOKUP(D46,'PLAYER POOL'!A:A,'PLAYER POOL'!Y:Y),0)</f>
        <v/>
      </c>
      <c r="F46" s="5">
        <f>E46-C46</f>
        <v/>
      </c>
      <c r="G46" s="5" t="n">
        <v>0</v>
      </c>
      <c r="H46" s="5">
        <f>F46-G46</f>
        <v/>
      </c>
      <c r="I46" s="8" t="n"/>
      <c r="J46" s="8" t="n"/>
      <c r="K46" s="5">
        <f>IF(H46&gt;=1,"Positive edge","No clear edge")</f>
        <v/>
      </c>
    </row>
    <row r="47">
      <c r="A47" s="8" t="n"/>
      <c r="B47" s="8" t="n"/>
      <c r="C47" s="5">
        <f>IFERROR(XLOOKUP(B47,'PLAYER POOL'!A:A,'PLAYER POOL'!Y:Y),0)</f>
        <v/>
      </c>
      <c r="D47" s="8" t="n"/>
      <c r="E47" s="5">
        <f>IFERROR(XLOOKUP(D47,'PLAYER POOL'!A:A,'PLAYER POOL'!Y:Y),0)</f>
        <v/>
      </c>
      <c r="F47" s="5">
        <f>E47-C47</f>
        <v/>
      </c>
      <c r="G47" s="5" t="n">
        <v>0</v>
      </c>
      <c r="H47" s="5">
        <f>F47-G47</f>
        <v/>
      </c>
      <c r="I47" s="8" t="n"/>
      <c r="J47" s="8" t="n"/>
      <c r="K47" s="5">
        <f>IF(H47&gt;=1,"Positive edge","No clear edge")</f>
        <v/>
      </c>
    </row>
    <row r="48">
      <c r="A48" s="8" t="n"/>
      <c r="B48" s="8" t="n"/>
      <c r="C48" s="5">
        <f>IFERROR(XLOOKUP(B48,'PLAYER POOL'!A:A,'PLAYER POOL'!Y:Y),0)</f>
        <v/>
      </c>
      <c r="D48" s="8" t="n"/>
      <c r="E48" s="5">
        <f>IFERROR(XLOOKUP(D48,'PLAYER POOL'!A:A,'PLAYER POOL'!Y:Y),0)</f>
        <v/>
      </c>
      <c r="F48" s="5">
        <f>E48-C48</f>
        <v/>
      </c>
      <c r="G48" s="5" t="n">
        <v>0</v>
      </c>
      <c r="H48" s="5">
        <f>F48-G48</f>
        <v/>
      </c>
      <c r="I48" s="8" t="n"/>
      <c r="J48" s="8" t="n"/>
      <c r="K48" s="5">
        <f>IF(H48&gt;=1,"Positive edge","No clear edge")</f>
        <v/>
      </c>
    </row>
    <row r="49">
      <c r="A49" s="8" t="n"/>
      <c r="B49" s="8" t="n"/>
      <c r="C49" s="5">
        <f>IFERROR(XLOOKUP(B49,'PLAYER POOL'!A:A,'PLAYER POOL'!Y:Y),0)</f>
        <v/>
      </c>
      <c r="D49" s="8" t="n"/>
      <c r="E49" s="5">
        <f>IFERROR(XLOOKUP(D49,'PLAYER POOL'!A:A,'PLAYER POOL'!Y:Y),0)</f>
        <v/>
      </c>
      <c r="F49" s="5">
        <f>E49-C49</f>
        <v/>
      </c>
      <c r="G49" s="5" t="n">
        <v>0</v>
      </c>
      <c r="H49" s="5">
        <f>F49-G49</f>
        <v/>
      </c>
      <c r="I49" s="8" t="n"/>
      <c r="J49" s="8" t="n"/>
      <c r="K49" s="5">
        <f>IF(H49&gt;=1,"Positive edge","No clear edge")</f>
        <v/>
      </c>
    </row>
    <row r="50">
      <c r="A50" s="8" t="n"/>
      <c r="B50" s="8" t="n"/>
      <c r="C50" s="5">
        <f>IFERROR(XLOOKUP(B50,'PLAYER POOL'!A:A,'PLAYER POOL'!Y:Y),0)</f>
        <v/>
      </c>
      <c r="D50" s="8" t="n"/>
      <c r="E50" s="5">
        <f>IFERROR(XLOOKUP(D50,'PLAYER POOL'!A:A,'PLAYER POOL'!Y:Y),0)</f>
        <v/>
      </c>
      <c r="F50" s="5">
        <f>E50-C50</f>
        <v/>
      </c>
      <c r="G50" s="5" t="n">
        <v>0</v>
      </c>
      <c r="H50" s="5">
        <f>F50-G50</f>
        <v/>
      </c>
      <c r="I50" s="8" t="n"/>
      <c r="J50" s="8" t="n"/>
      <c r="K50" s="5">
        <f>IF(H50&gt;=1,"Positive edge","No clear edge")</f>
        <v/>
      </c>
    </row>
    <row r="51">
      <c r="A51" s="8" t="n"/>
      <c r="B51" s="8" t="n"/>
      <c r="C51" s="5">
        <f>IFERROR(XLOOKUP(B51,'PLAYER POOL'!A:A,'PLAYER POOL'!Y:Y),0)</f>
        <v/>
      </c>
      <c r="D51" s="8" t="n"/>
      <c r="E51" s="5">
        <f>IFERROR(XLOOKUP(D51,'PLAYER POOL'!A:A,'PLAYER POOL'!Y:Y),0)</f>
        <v/>
      </c>
      <c r="F51" s="5">
        <f>E51-C51</f>
        <v/>
      </c>
      <c r="G51" s="5" t="n">
        <v>0</v>
      </c>
      <c r="H51" s="5">
        <f>F51-G51</f>
        <v/>
      </c>
      <c r="I51" s="8" t="n"/>
      <c r="J51" s="8" t="n"/>
      <c r="K51" s="5">
        <f>IF(H51&gt;=1,"Positive edge","No clear edge")</f>
        <v/>
      </c>
    </row>
    <row r="52">
      <c r="A52" s="8" t="n"/>
      <c r="B52" s="8" t="n"/>
      <c r="C52" s="5">
        <f>IFERROR(XLOOKUP(B52,'PLAYER POOL'!A:A,'PLAYER POOL'!Y:Y),0)</f>
        <v/>
      </c>
      <c r="D52" s="8" t="n"/>
      <c r="E52" s="5">
        <f>IFERROR(XLOOKUP(D52,'PLAYER POOL'!A:A,'PLAYER POOL'!Y:Y),0)</f>
        <v/>
      </c>
      <c r="F52" s="5">
        <f>E52-C52</f>
        <v/>
      </c>
      <c r="G52" s="5" t="n">
        <v>0</v>
      </c>
      <c r="H52" s="5">
        <f>F52-G52</f>
        <v/>
      </c>
      <c r="I52" s="8" t="n"/>
      <c r="J52" s="8" t="n"/>
      <c r="K52" s="5">
        <f>IF(H52&gt;=1,"Positive edge","No clear edge")</f>
        <v/>
      </c>
    </row>
    <row r="53">
      <c r="A53" s="8" t="n"/>
      <c r="B53" s="8" t="n"/>
      <c r="C53" s="5">
        <f>IFERROR(XLOOKUP(B53,'PLAYER POOL'!A:A,'PLAYER POOL'!Y:Y),0)</f>
        <v/>
      </c>
      <c r="D53" s="8" t="n"/>
      <c r="E53" s="5">
        <f>IFERROR(XLOOKUP(D53,'PLAYER POOL'!A:A,'PLAYER POOL'!Y:Y),0)</f>
        <v/>
      </c>
      <c r="F53" s="5">
        <f>E53-C53</f>
        <v/>
      </c>
      <c r="G53" s="5" t="n">
        <v>0</v>
      </c>
      <c r="H53" s="5">
        <f>F53-G53</f>
        <v/>
      </c>
      <c r="I53" s="8" t="n"/>
      <c r="J53" s="8" t="n"/>
      <c r="K53" s="5">
        <f>IF(H53&gt;=1,"Positive edge","No clear edge")</f>
        <v/>
      </c>
    </row>
    <row r="54">
      <c r="A54" s="8" t="n"/>
      <c r="B54" s="8" t="n"/>
      <c r="C54" s="5">
        <f>IFERROR(XLOOKUP(B54,'PLAYER POOL'!A:A,'PLAYER POOL'!Y:Y),0)</f>
        <v/>
      </c>
      <c r="D54" s="8" t="n"/>
      <c r="E54" s="5">
        <f>IFERROR(XLOOKUP(D54,'PLAYER POOL'!A:A,'PLAYER POOL'!Y:Y),0)</f>
        <v/>
      </c>
      <c r="F54" s="5">
        <f>E54-C54</f>
        <v/>
      </c>
      <c r="G54" s="5" t="n">
        <v>0</v>
      </c>
      <c r="H54" s="5">
        <f>F54-G54</f>
        <v/>
      </c>
      <c r="I54" s="8" t="n"/>
      <c r="J54" s="8" t="n"/>
      <c r="K54" s="5">
        <f>IF(H54&gt;=1,"Positive edge","No clear edge")</f>
        <v/>
      </c>
    </row>
    <row r="55">
      <c r="A55" s="8" t="n"/>
      <c r="B55" s="8" t="n"/>
      <c r="C55" s="5">
        <f>IFERROR(XLOOKUP(B55,'PLAYER POOL'!A:A,'PLAYER POOL'!Y:Y),0)</f>
        <v/>
      </c>
      <c r="D55" s="8" t="n"/>
      <c r="E55" s="5">
        <f>IFERROR(XLOOKUP(D55,'PLAYER POOL'!A:A,'PLAYER POOL'!Y:Y),0)</f>
        <v/>
      </c>
      <c r="F55" s="5">
        <f>E55-C55</f>
        <v/>
      </c>
      <c r="G55" s="5" t="n">
        <v>0</v>
      </c>
      <c r="H55" s="5">
        <f>F55-G55</f>
        <v/>
      </c>
      <c r="I55" s="8" t="n"/>
      <c r="J55" s="8" t="n"/>
      <c r="K55" s="5">
        <f>IF(H55&gt;=1,"Positive edge","No clear edge")</f>
        <v/>
      </c>
    </row>
    <row r="56">
      <c r="A56" s="8" t="n"/>
      <c r="B56" s="8" t="n"/>
      <c r="C56" s="5">
        <f>IFERROR(XLOOKUP(B56,'PLAYER POOL'!A:A,'PLAYER POOL'!Y:Y),0)</f>
        <v/>
      </c>
      <c r="D56" s="8" t="n"/>
      <c r="E56" s="5">
        <f>IFERROR(XLOOKUP(D56,'PLAYER POOL'!A:A,'PLAYER POOL'!Y:Y),0)</f>
        <v/>
      </c>
      <c r="F56" s="5">
        <f>E56-C56</f>
        <v/>
      </c>
      <c r="G56" s="5" t="n">
        <v>0</v>
      </c>
      <c r="H56" s="5">
        <f>F56-G56</f>
        <v/>
      </c>
      <c r="I56" s="8" t="n"/>
      <c r="J56" s="8" t="n"/>
      <c r="K56" s="5">
        <f>IF(H56&gt;=1,"Positive edge","No clear edge")</f>
        <v/>
      </c>
    </row>
    <row r="57">
      <c r="A57" s="8" t="n"/>
      <c r="B57" s="8" t="n"/>
      <c r="C57" s="5">
        <f>IFERROR(XLOOKUP(B57,'PLAYER POOL'!A:A,'PLAYER POOL'!Y:Y),0)</f>
        <v/>
      </c>
      <c r="D57" s="8" t="n"/>
      <c r="E57" s="5">
        <f>IFERROR(XLOOKUP(D57,'PLAYER POOL'!A:A,'PLAYER POOL'!Y:Y),0)</f>
        <v/>
      </c>
      <c r="F57" s="5">
        <f>E57-C57</f>
        <v/>
      </c>
      <c r="G57" s="5" t="n">
        <v>0</v>
      </c>
      <c r="H57" s="5">
        <f>F57-G57</f>
        <v/>
      </c>
      <c r="I57" s="8" t="n"/>
      <c r="J57" s="8" t="n"/>
      <c r="K57" s="5">
        <f>IF(H57&gt;=1,"Positive edge","No clear edge")</f>
        <v/>
      </c>
    </row>
    <row r="58">
      <c r="A58" s="8" t="n"/>
      <c r="B58" s="8" t="n"/>
      <c r="C58" s="5">
        <f>IFERROR(XLOOKUP(B58,'PLAYER POOL'!A:A,'PLAYER POOL'!Y:Y),0)</f>
        <v/>
      </c>
      <c r="D58" s="8" t="n"/>
      <c r="E58" s="5">
        <f>IFERROR(XLOOKUP(D58,'PLAYER POOL'!A:A,'PLAYER POOL'!Y:Y),0)</f>
        <v/>
      </c>
      <c r="F58" s="5">
        <f>E58-C58</f>
        <v/>
      </c>
      <c r="G58" s="5" t="n">
        <v>0</v>
      </c>
      <c r="H58" s="5">
        <f>F58-G58</f>
        <v/>
      </c>
      <c r="I58" s="8" t="n"/>
      <c r="J58" s="8" t="n"/>
      <c r="K58" s="5">
        <f>IF(H58&gt;=1,"Positive edge","No clear edge")</f>
        <v/>
      </c>
    </row>
    <row r="59">
      <c r="A59" s="8" t="n"/>
      <c r="B59" s="8" t="n"/>
      <c r="C59" s="5">
        <f>IFERROR(XLOOKUP(B59,'PLAYER POOL'!A:A,'PLAYER POOL'!Y:Y),0)</f>
        <v/>
      </c>
      <c r="D59" s="8" t="n"/>
      <c r="E59" s="5">
        <f>IFERROR(XLOOKUP(D59,'PLAYER POOL'!A:A,'PLAYER POOL'!Y:Y),0)</f>
        <v/>
      </c>
      <c r="F59" s="5">
        <f>E59-C59</f>
        <v/>
      </c>
      <c r="G59" s="5" t="n">
        <v>0</v>
      </c>
      <c r="H59" s="5">
        <f>F59-G59</f>
        <v/>
      </c>
      <c r="I59" s="8" t="n"/>
      <c r="J59" s="8" t="n"/>
      <c r="K59" s="5">
        <f>IF(H59&gt;=1,"Positive edge","No clear edge")</f>
        <v/>
      </c>
    </row>
    <row r="60">
      <c r="A60" s="8" t="n"/>
      <c r="B60" s="8" t="n"/>
      <c r="C60" s="5">
        <f>IFERROR(XLOOKUP(B60,'PLAYER POOL'!A:A,'PLAYER POOL'!Y:Y),0)</f>
        <v/>
      </c>
      <c r="D60" s="8" t="n"/>
      <c r="E60" s="5">
        <f>IFERROR(XLOOKUP(D60,'PLAYER POOL'!A:A,'PLAYER POOL'!Y:Y),0)</f>
        <v/>
      </c>
      <c r="F60" s="5">
        <f>E60-C60</f>
        <v/>
      </c>
      <c r="G60" s="5" t="n">
        <v>0</v>
      </c>
      <c r="H60" s="5">
        <f>F60-G60</f>
        <v/>
      </c>
      <c r="I60" s="8" t="n"/>
      <c r="J60" s="8" t="n"/>
      <c r="K60" s="5">
        <f>IF(H60&gt;=1,"Positive edge","No clear edge")</f>
        <v/>
      </c>
    </row>
    <row r="61">
      <c r="A61" s="8" t="n"/>
      <c r="B61" s="8" t="n"/>
      <c r="C61" s="5">
        <f>IFERROR(XLOOKUP(B61,'PLAYER POOL'!A:A,'PLAYER POOL'!Y:Y),0)</f>
        <v/>
      </c>
      <c r="D61" s="8" t="n"/>
      <c r="E61" s="5">
        <f>IFERROR(XLOOKUP(D61,'PLAYER POOL'!A:A,'PLAYER POOL'!Y:Y),0)</f>
        <v/>
      </c>
      <c r="F61" s="5">
        <f>E61-C61</f>
        <v/>
      </c>
      <c r="G61" s="5" t="n">
        <v>0</v>
      </c>
      <c r="H61" s="5">
        <f>F61-G61</f>
        <v/>
      </c>
      <c r="I61" s="8" t="n"/>
      <c r="J61" s="8" t="n"/>
      <c r="K61" s="5">
        <f>IF(H61&gt;=1,"Positive edge","No clear edge")</f>
        <v/>
      </c>
    </row>
    <row r="62">
      <c r="A62" s="8" t="n"/>
      <c r="B62" s="8" t="n"/>
      <c r="C62" s="5">
        <f>IFERROR(XLOOKUP(B62,'PLAYER POOL'!A:A,'PLAYER POOL'!Y:Y),0)</f>
        <v/>
      </c>
      <c r="D62" s="8" t="n"/>
      <c r="E62" s="5">
        <f>IFERROR(XLOOKUP(D62,'PLAYER POOL'!A:A,'PLAYER POOL'!Y:Y),0)</f>
        <v/>
      </c>
      <c r="F62" s="5">
        <f>E62-C62</f>
        <v/>
      </c>
      <c r="G62" s="5" t="n">
        <v>0</v>
      </c>
      <c r="H62" s="5">
        <f>F62-G62</f>
        <v/>
      </c>
      <c r="I62" s="8" t="n"/>
      <c r="J62" s="8" t="n"/>
      <c r="K62" s="5">
        <f>IF(H62&gt;=1,"Positive edge","No clear edge")</f>
        <v/>
      </c>
    </row>
    <row r="63">
      <c r="A63" s="8" t="n"/>
      <c r="B63" s="8" t="n"/>
      <c r="C63" s="5">
        <f>IFERROR(XLOOKUP(B63,'PLAYER POOL'!A:A,'PLAYER POOL'!Y:Y),0)</f>
        <v/>
      </c>
      <c r="D63" s="8" t="n"/>
      <c r="E63" s="5">
        <f>IFERROR(XLOOKUP(D63,'PLAYER POOL'!A:A,'PLAYER POOL'!Y:Y),0)</f>
        <v/>
      </c>
      <c r="F63" s="5">
        <f>E63-C63</f>
        <v/>
      </c>
      <c r="G63" s="5" t="n">
        <v>0</v>
      </c>
      <c r="H63" s="5">
        <f>F63-G63</f>
        <v/>
      </c>
      <c r="I63" s="8" t="n"/>
      <c r="J63" s="8" t="n"/>
      <c r="K63" s="5">
        <f>IF(H63&gt;=1,"Positive edge","No clear edge")</f>
        <v/>
      </c>
    </row>
    <row r="64">
      <c r="A64" s="8" t="n"/>
      <c r="B64" s="8" t="n"/>
      <c r="C64" s="5">
        <f>IFERROR(XLOOKUP(B64,'PLAYER POOL'!A:A,'PLAYER POOL'!Y:Y),0)</f>
        <v/>
      </c>
      <c r="D64" s="8" t="n"/>
      <c r="E64" s="5">
        <f>IFERROR(XLOOKUP(D64,'PLAYER POOL'!A:A,'PLAYER POOL'!Y:Y),0)</f>
        <v/>
      </c>
      <c r="F64" s="5">
        <f>E64-C64</f>
        <v/>
      </c>
      <c r="G64" s="5" t="n">
        <v>0</v>
      </c>
      <c r="H64" s="5">
        <f>F64-G64</f>
        <v/>
      </c>
      <c r="I64" s="8" t="n"/>
      <c r="J64" s="8" t="n"/>
      <c r="K64" s="5">
        <f>IF(H64&gt;=1,"Positive edge","No clear edge")</f>
        <v/>
      </c>
    </row>
    <row r="65">
      <c r="A65" s="8" t="n"/>
      <c r="B65" s="8" t="n"/>
      <c r="C65" s="5">
        <f>IFERROR(XLOOKUP(B65,'PLAYER POOL'!A:A,'PLAYER POOL'!Y:Y),0)</f>
        <v/>
      </c>
      <c r="D65" s="8" t="n"/>
      <c r="E65" s="5">
        <f>IFERROR(XLOOKUP(D65,'PLAYER POOL'!A:A,'PLAYER POOL'!Y:Y),0)</f>
        <v/>
      </c>
      <c r="F65" s="5">
        <f>E65-C65</f>
        <v/>
      </c>
      <c r="G65" s="5" t="n">
        <v>0</v>
      </c>
      <c r="H65" s="5">
        <f>F65-G65</f>
        <v/>
      </c>
      <c r="I65" s="8" t="n"/>
      <c r="J65" s="8" t="n"/>
      <c r="K65" s="5">
        <f>IF(H65&gt;=1,"Positive edge","No clear edge")</f>
        <v/>
      </c>
    </row>
    <row r="66">
      <c r="A66" s="8" t="n"/>
      <c r="B66" s="8" t="n"/>
      <c r="C66" s="5">
        <f>IFERROR(XLOOKUP(B66,'PLAYER POOL'!A:A,'PLAYER POOL'!Y:Y),0)</f>
        <v/>
      </c>
      <c r="D66" s="8" t="n"/>
      <c r="E66" s="5">
        <f>IFERROR(XLOOKUP(D66,'PLAYER POOL'!A:A,'PLAYER POOL'!Y:Y),0)</f>
        <v/>
      </c>
      <c r="F66" s="5">
        <f>E66-C66</f>
        <v/>
      </c>
      <c r="G66" s="5" t="n">
        <v>0</v>
      </c>
      <c r="H66" s="5">
        <f>F66-G66</f>
        <v/>
      </c>
      <c r="I66" s="8" t="n"/>
      <c r="J66" s="8" t="n"/>
      <c r="K66" s="5">
        <f>IF(H66&gt;=1,"Positive edge","No clear edge")</f>
        <v/>
      </c>
    </row>
    <row r="67">
      <c r="A67" s="8" t="n"/>
      <c r="B67" s="8" t="n"/>
      <c r="C67" s="5">
        <f>IFERROR(XLOOKUP(B67,'PLAYER POOL'!A:A,'PLAYER POOL'!Y:Y),0)</f>
        <v/>
      </c>
      <c r="D67" s="8" t="n"/>
      <c r="E67" s="5">
        <f>IFERROR(XLOOKUP(D67,'PLAYER POOL'!A:A,'PLAYER POOL'!Y:Y),0)</f>
        <v/>
      </c>
      <c r="F67" s="5">
        <f>E67-C67</f>
        <v/>
      </c>
      <c r="G67" s="5" t="n">
        <v>0</v>
      </c>
      <c r="H67" s="5">
        <f>F67-G67</f>
        <v/>
      </c>
      <c r="I67" s="8" t="n"/>
      <c r="J67" s="8" t="n"/>
      <c r="K67" s="5">
        <f>IF(H67&gt;=1,"Positive edge","No clear edge")</f>
        <v/>
      </c>
    </row>
    <row r="68">
      <c r="A68" s="8" t="n"/>
      <c r="B68" s="8" t="n"/>
      <c r="C68" s="5">
        <f>IFERROR(XLOOKUP(B68,'PLAYER POOL'!A:A,'PLAYER POOL'!Y:Y),0)</f>
        <v/>
      </c>
      <c r="D68" s="8" t="n"/>
      <c r="E68" s="5">
        <f>IFERROR(XLOOKUP(D68,'PLAYER POOL'!A:A,'PLAYER POOL'!Y:Y),0)</f>
        <v/>
      </c>
      <c r="F68" s="5">
        <f>E68-C68</f>
        <v/>
      </c>
      <c r="G68" s="5" t="n">
        <v>0</v>
      </c>
      <c r="H68" s="5">
        <f>F68-G68</f>
        <v/>
      </c>
      <c r="I68" s="8" t="n"/>
      <c r="J68" s="8" t="n"/>
      <c r="K68" s="5">
        <f>IF(H68&gt;=1,"Positive edge","No clear edge")</f>
        <v/>
      </c>
    </row>
    <row r="69">
      <c r="A69" s="8" t="n"/>
      <c r="B69" s="8" t="n"/>
      <c r="C69" s="5">
        <f>IFERROR(XLOOKUP(B69,'PLAYER POOL'!A:A,'PLAYER POOL'!Y:Y),0)</f>
        <v/>
      </c>
      <c r="D69" s="8" t="n"/>
      <c r="E69" s="5">
        <f>IFERROR(XLOOKUP(D69,'PLAYER POOL'!A:A,'PLAYER POOL'!Y:Y),0)</f>
        <v/>
      </c>
      <c r="F69" s="5">
        <f>E69-C69</f>
        <v/>
      </c>
      <c r="G69" s="5" t="n">
        <v>0</v>
      </c>
      <c r="H69" s="5">
        <f>F69-G69</f>
        <v/>
      </c>
      <c r="I69" s="8" t="n"/>
      <c r="J69" s="8" t="n"/>
      <c r="K69" s="5">
        <f>IF(H69&gt;=1,"Positive edge","No clear edge")</f>
        <v/>
      </c>
    </row>
    <row r="70">
      <c r="A70" s="8" t="n"/>
      <c r="B70" s="8" t="n"/>
      <c r="C70" s="5">
        <f>IFERROR(XLOOKUP(B70,'PLAYER POOL'!A:A,'PLAYER POOL'!Y:Y),0)</f>
        <v/>
      </c>
      <c r="D70" s="8" t="n"/>
      <c r="E70" s="5">
        <f>IFERROR(XLOOKUP(D70,'PLAYER POOL'!A:A,'PLAYER POOL'!Y:Y),0)</f>
        <v/>
      </c>
      <c r="F70" s="5">
        <f>E70-C70</f>
        <v/>
      </c>
      <c r="G70" s="5" t="n">
        <v>0</v>
      </c>
      <c r="H70" s="5">
        <f>F70-G70</f>
        <v/>
      </c>
      <c r="I70" s="8" t="n"/>
      <c r="J70" s="8" t="n"/>
      <c r="K70" s="5">
        <f>IF(H70&gt;=1,"Positive edge","No clear edge")</f>
        <v/>
      </c>
    </row>
    <row r="71">
      <c r="A71" s="8" t="n"/>
      <c r="B71" s="8" t="n"/>
      <c r="C71" s="5">
        <f>IFERROR(XLOOKUP(B71,'PLAYER POOL'!A:A,'PLAYER POOL'!Y:Y),0)</f>
        <v/>
      </c>
      <c r="D71" s="8" t="n"/>
      <c r="E71" s="5">
        <f>IFERROR(XLOOKUP(D71,'PLAYER POOL'!A:A,'PLAYER POOL'!Y:Y),0)</f>
        <v/>
      </c>
      <c r="F71" s="5">
        <f>E71-C71</f>
        <v/>
      </c>
      <c r="G71" s="5" t="n">
        <v>0</v>
      </c>
      <c r="H71" s="5">
        <f>F71-G71</f>
        <v/>
      </c>
      <c r="I71" s="8" t="n"/>
      <c r="J71" s="8" t="n"/>
      <c r="K71" s="5">
        <f>IF(H71&gt;=1,"Positive edge","No clear edge")</f>
        <v/>
      </c>
    </row>
    <row r="72">
      <c r="A72" s="8" t="n"/>
      <c r="B72" s="8" t="n"/>
      <c r="C72" s="5">
        <f>IFERROR(XLOOKUP(B72,'PLAYER POOL'!A:A,'PLAYER POOL'!Y:Y),0)</f>
        <v/>
      </c>
      <c r="D72" s="8" t="n"/>
      <c r="E72" s="5">
        <f>IFERROR(XLOOKUP(D72,'PLAYER POOL'!A:A,'PLAYER POOL'!Y:Y),0)</f>
        <v/>
      </c>
      <c r="F72" s="5">
        <f>E72-C72</f>
        <v/>
      </c>
      <c r="G72" s="5" t="n">
        <v>0</v>
      </c>
      <c r="H72" s="5">
        <f>F72-G72</f>
        <v/>
      </c>
      <c r="I72" s="8" t="n"/>
      <c r="J72" s="8" t="n"/>
      <c r="K72" s="5">
        <f>IF(H72&gt;=1,"Positive edge","No clear edge")</f>
        <v/>
      </c>
    </row>
    <row r="73">
      <c r="A73" s="8" t="n"/>
      <c r="B73" s="8" t="n"/>
      <c r="C73" s="5">
        <f>IFERROR(XLOOKUP(B73,'PLAYER POOL'!A:A,'PLAYER POOL'!Y:Y),0)</f>
        <v/>
      </c>
      <c r="D73" s="8" t="n"/>
      <c r="E73" s="5">
        <f>IFERROR(XLOOKUP(D73,'PLAYER POOL'!A:A,'PLAYER POOL'!Y:Y),0)</f>
        <v/>
      </c>
      <c r="F73" s="5">
        <f>E73-C73</f>
        <v/>
      </c>
      <c r="G73" s="5" t="n">
        <v>0</v>
      </c>
      <c r="H73" s="5">
        <f>F73-G73</f>
        <v/>
      </c>
      <c r="I73" s="8" t="n"/>
      <c r="J73" s="8" t="n"/>
      <c r="K73" s="5">
        <f>IF(H73&gt;=1,"Positive edge","No clear edge")</f>
        <v/>
      </c>
    </row>
    <row r="74">
      <c r="A74" s="8" t="n"/>
      <c r="B74" s="8" t="n"/>
      <c r="C74" s="5">
        <f>IFERROR(XLOOKUP(B74,'PLAYER POOL'!A:A,'PLAYER POOL'!Y:Y),0)</f>
        <v/>
      </c>
      <c r="D74" s="8" t="n"/>
      <c r="E74" s="5">
        <f>IFERROR(XLOOKUP(D74,'PLAYER POOL'!A:A,'PLAYER POOL'!Y:Y),0)</f>
        <v/>
      </c>
      <c r="F74" s="5">
        <f>E74-C74</f>
        <v/>
      </c>
      <c r="G74" s="5" t="n">
        <v>0</v>
      </c>
      <c r="H74" s="5">
        <f>F74-G74</f>
        <v/>
      </c>
      <c r="I74" s="8" t="n"/>
      <c r="J74" s="8" t="n"/>
      <c r="K74" s="5">
        <f>IF(H74&gt;=1,"Positive edge","No clear edge")</f>
        <v/>
      </c>
    </row>
    <row r="75">
      <c r="A75" s="8" t="n"/>
      <c r="B75" s="8" t="n"/>
      <c r="C75" s="5">
        <f>IFERROR(XLOOKUP(B75,'PLAYER POOL'!A:A,'PLAYER POOL'!Y:Y),0)</f>
        <v/>
      </c>
      <c r="D75" s="8" t="n"/>
      <c r="E75" s="5">
        <f>IFERROR(XLOOKUP(D75,'PLAYER POOL'!A:A,'PLAYER POOL'!Y:Y),0)</f>
        <v/>
      </c>
      <c r="F75" s="5">
        <f>E75-C75</f>
        <v/>
      </c>
      <c r="G75" s="5" t="n">
        <v>0</v>
      </c>
      <c r="H75" s="5">
        <f>F75-G75</f>
        <v/>
      </c>
      <c r="I75" s="8" t="n"/>
      <c r="J75" s="8" t="n"/>
      <c r="K75" s="5">
        <f>IF(H75&gt;=1,"Positive edge","No clear edge")</f>
        <v/>
      </c>
    </row>
    <row r="76">
      <c r="A76" s="8" t="n"/>
      <c r="B76" s="8" t="n"/>
      <c r="C76" s="5">
        <f>IFERROR(XLOOKUP(B76,'PLAYER POOL'!A:A,'PLAYER POOL'!Y:Y),0)</f>
        <v/>
      </c>
      <c r="D76" s="8" t="n"/>
      <c r="E76" s="5">
        <f>IFERROR(XLOOKUP(D76,'PLAYER POOL'!A:A,'PLAYER POOL'!Y:Y),0)</f>
        <v/>
      </c>
      <c r="F76" s="5">
        <f>E76-C76</f>
        <v/>
      </c>
      <c r="G76" s="5" t="n">
        <v>0</v>
      </c>
      <c r="H76" s="5">
        <f>F76-G76</f>
        <v/>
      </c>
      <c r="I76" s="8" t="n"/>
      <c r="J76" s="8" t="n"/>
      <c r="K76" s="5">
        <f>IF(H76&gt;=1,"Positive edge","No clear edge")</f>
        <v/>
      </c>
    </row>
    <row r="77">
      <c r="A77" s="8" t="n"/>
      <c r="B77" s="8" t="n"/>
      <c r="C77" s="5">
        <f>IFERROR(XLOOKUP(B77,'PLAYER POOL'!A:A,'PLAYER POOL'!Y:Y),0)</f>
        <v/>
      </c>
      <c r="D77" s="8" t="n"/>
      <c r="E77" s="5">
        <f>IFERROR(XLOOKUP(D77,'PLAYER POOL'!A:A,'PLAYER POOL'!Y:Y),0)</f>
        <v/>
      </c>
      <c r="F77" s="5">
        <f>E77-C77</f>
        <v/>
      </c>
      <c r="G77" s="5" t="n">
        <v>0</v>
      </c>
      <c r="H77" s="5">
        <f>F77-G77</f>
        <v/>
      </c>
      <c r="I77" s="8" t="n"/>
      <c r="J77" s="8" t="n"/>
      <c r="K77" s="5">
        <f>IF(H77&gt;=1,"Positive edge","No clear edge")</f>
        <v/>
      </c>
    </row>
    <row r="78">
      <c r="A78" s="8" t="n"/>
      <c r="B78" s="8" t="n"/>
      <c r="C78" s="5">
        <f>IFERROR(XLOOKUP(B78,'PLAYER POOL'!A:A,'PLAYER POOL'!Y:Y),0)</f>
        <v/>
      </c>
      <c r="D78" s="8" t="n"/>
      <c r="E78" s="5">
        <f>IFERROR(XLOOKUP(D78,'PLAYER POOL'!A:A,'PLAYER POOL'!Y:Y),0)</f>
        <v/>
      </c>
      <c r="F78" s="5">
        <f>E78-C78</f>
        <v/>
      </c>
      <c r="G78" s="5" t="n">
        <v>0</v>
      </c>
      <c r="H78" s="5">
        <f>F78-G78</f>
        <v/>
      </c>
      <c r="I78" s="8" t="n"/>
      <c r="J78" s="8" t="n"/>
      <c r="K78" s="5">
        <f>IF(H78&gt;=1,"Positive edge","No clear edge")</f>
        <v/>
      </c>
    </row>
    <row r="79">
      <c r="A79" s="8" t="n"/>
      <c r="B79" s="8" t="n"/>
      <c r="C79" s="5">
        <f>IFERROR(XLOOKUP(B79,'PLAYER POOL'!A:A,'PLAYER POOL'!Y:Y),0)</f>
        <v/>
      </c>
      <c r="D79" s="8" t="n"/>
      <c r="E79" s="5">
        <f>IFERROR(XLOOKUP(D79,'PLAYER POOL'!A:A,'PLAYER POOL'!Y:Y),0)</f>
        <v/>
      </c>
      <c r="F79" s="5">
        <f>E79-C79</f>
        <v/>
      </c>
      <c r="G79" s="5" t="n">
        <v>0</v>
      </c>
      <c r="H79" s="5">
        <f>F79-G79</f>
        <v/>
      </c>
      <c r="I79" s="8" t="n"/>
      <c r="J79" s="8" t="n"/>
      <c r="K79" s="5">
        <f>IF(H79&gt;=1,"Positive edge","No clear edge")</f>
        <v/>
      </c>
    </row>
    <row r="80">
      <c r="A80" s="8" t="n"/>
      <c r="B80" s="8" t="n"/>
      <c r="C80" s="5">
        <f>IFERROR(XLOOKUP(B80,'PLAYER POOL'!A:A,'PLAYER POOL'!Y:Y),0)</f>
        <v/>
      </c>
      <c r="D80" s="8" t="n"/>
      <c r="E80" s="5">
        <f>IFERROR(XLOOKUP(D80,'PLAYER POOL'!A:A,'PLAYER POOL'!Y:Y),0)</f>
        <v/>
      </c>
      <c r="F80" s="5">
        <f>E80-C80</f>
        <v/>
      </c>
      <c r="G80" s="5" t="n">
        <v>0</v>
      </c>
      <c r="H80" s="5">
        <f>F80-G80</f>
        <v/>
      </c>
      <c r="I80" s="8" t="n"/>
      <c r="J80" s="8" t="n"/>
      <c r="K80" s="5">
        <f>IF(H80&gt;=1,"Positive edge","No clear edge")</f>
        <v/>
      </c>
    </row>
    <row r="81">
      <c r="A81" s="8" t="n"/>
      <c r="B81" s="8" t="n"/>
      <c r="C81" s="5">
        <f>IFERROR(XLOOKUP(B81,'PLAYER POOL'!A:A,'PLAYER POOL'!Y:Y),0)</f>
        <v/>
      </c>
      <c r="D81" s="8" t="n"/>
      <c r="E81" s="5">
        <f>IFERROR(XLOOKUP(D81,'PLAYER POOL'!A:A,'PLAYER POOL'!Y:Y),0)</f>
        <v/>
      </c>
      <c r="F81" s="5">
        <f>E81-C81</f>
        <v/>
      </c>
      <c r="G81" s="5" t="n">
        <v>0</v>
      </c>
      <c r="H81" s="5">
        <f>F81-G81</f>
        <v/>
      </c>
      <c r="I81" s="8" t="n"/>
      <c r="J81" s="8" t="n"/>
      <c r="K81" s="5">
        <f>IF(H81&gt;=1,"Positive edge","No clear edge")</f>
        <v/>
      </c>
    </row>
    <row r="82">
      <c r="A82" s="8" t="n"/>
      <c r="B82" s="8" t="n"/>
      <c r="C82" s="5">
        <f>IFERROR(XLOOKUP(B82,'PLAYER POOL'!A:A,'PLAYER POOL'!Y:Y),0)</f>
        <v/>
      </c>
      <c r="D82" s="8" t="n"/>
      <c r="E82" s="5">
        <f>IFERROR(XLOOKUP(D82,'PLAYER POOL'!A:A,'PLAYER POOL'!Y:Y),0)</f>
        <v/>
      </c>
      <c r="F82" s="5">
        <f>E82-C82</f>
        <v/>
      </c>
      <c r="G82" s="5" t="n">
        <v>0</v>
      </c>
      <c r="H82" s="5">
        <f>F82-G82</f>
        <v/>
      </c>
      <c r="I82" s="8" t="n"/>
      <c r="J82" s="8" t="n"/>
      <c r="K82" s="5">
        <f>IF(H82&gt;=1,"Positive edge","No clear edge")</f>
        <v/>
      </c>
    </row>
    <row r="83">
      <c r="A83" s="8" t="n"/>
      <c r="B83" s="8" t="n"/>
      <c r="C83" s="5">
        <f>IFERROR(XLOOKUP(B83,'PLAYER POOL'!A:A,'PLAYER POOL'!Y:Y),0)</f>
        <v/>
      </c>
      <c r="D83" s="8" t="n"/>
      <c r="E83" s="5">
        <f>IFERROR(XLOOKUP(D83,'PLAYER POOL'!A:A,'PLAYER POOL'!Y:Y),0)</f>
        <v/>
      </c>
      <c r="F83" s="5">
        <f>E83-C83</f>
        <v/>
      </c>
      <c r="G83" s="5" t="n">
        <v>0</v>
      </c>
      <c r="H83" s="5">
        <f>F83-G83</f>
        <v/>
      </c>
      <c r="I83" s="8" t="n"/>
      <c r="J83" s="8" t="n"/>
      <c r="K83" s="5">
        <f>IF(H83&gt;=1,"Positive edge","No clear edge")</f>
        <v/>
      </c>
    </row>
    <row r="84">
      <c r="A84" s="8" t="n"/>
      <c r="B84" s="8" t="n"/>
      <c r="C84" s="5">
        <f>IFERROR(XLOOKUP(B84,'PLAYER POOL'!A:A,'PLAYER POOL'!Y:Y),0)</f>
        <v/>
      </c>
      <c r="D84" s="8" t="n"/>
      <c r="E84" s="5">
        <f>IFERROR(XLOOKUP(D84,'PLAYER POOL'!A:A,'PLAYER POOL'!Y:Y),0)</f>
        <v/>
      </c>
      <c r="F84" s="5">
        <f>E84-C84</f>
        <v/>
      </c>
      <c r="G84" s="5" t="n">
        <v>0</v>
      </c>
      <c r="H84" s="5">
        <f>F84-G84</f>
        <v/>
      </c>
      <c r="I84" s="8" t="n"/>
      <c r="J84" s="8" t="n"/>
      <c r="K84" s="5">
        <f>IF(H84&gt;=1,"Positive edge","No clear edge")</f>
        <v/>
      </c>
    </row>
    <row r="85">
      <c r="A85" s="8" t="n"/>
      <c r="B85" s="8" t="n"/>
      <c r="C85" s="5">
        <f>IFERROR(XLOOKUP(B85,'PLAYER POOL'!A:A,'PLAYER POOL'!Y:Y),0)</f>
        <v/>
      </c>
      <c r="D85" s="8" t="n"/>
      <c r="E85" s="5">
        <f>IFERROR(XLOOKUP(D85,'PLAYER POOL'!A:A,'PLAYER POOL'!Y:Y),0)</f>
        <v/>
      </c>
      <c r="F85" s="5">
        <f>E85-C85</f>
        <v/>
      </c>
      <c r="G85" s="5" t="n">
        <v>0</v>
      </c>
      <c r="H85" s="5">
        <f>F85-G85</f>
        <v/>
      </c>
      <c r="I85" s="8" t="n"/>
      <c r="J85" s="8" t="n"/>
      <c r="K85" s="5">
        <f>IF(H85&gt;=1,"Positive edge","No clear edge")</f>
        <v/>
      </c>
    </row>
    <row r="86">
      <c r="A86" s="8" t="n"/>
      <c r="B86" s="8" t="n"/>
      <c r="C86" s="5">
        <f>IFERROR(XLOOKUP(B86,'PLAYER POOL'!A:A,'PLAYER POOL'!Y:Y),0)</f>
        <v/>
      </c>
      <c r="D86" s="8" t="n"/>
      <c r="E86" s="5">
        <f>IFERROR(XLOOKUP(D86,'PLAYER POOL'!A:A,'PLAYER POOL'!Y:Y),0)</f>
        <v/>
      </c>
      <c r="F86" s="5">
        <f>E86-C86</f>
        <v/>
      </c>
      <c r="G86" s="5" t="n">
        <v>0</v>
      </c>
      <c r="H86" s="5">
        <f>F86-G86</f>
        <v/>
      </c>
      <c r="I86" s="8" t="n"/>
      <c r="J86" s="8" t="n"/>
      <c r="K86" s="5">
        <f>IF(H86&gt;=1,"Positive edge","No clear edge")</f>
        <v/>
      </c>
    </row>
    <row r="87">
      <c r="A87" s="8" t="n"/>
      <c r="B87" s="8" t="n"/>
      <c r="C87" s="5">
        <f>IFERROR(XLOOKUP(B87,'PLAYER POOL'!A:A,'PLAYER POOL'!Y:Y),0)</f>
        <v/>
      </c>
      <c r="D87" s="8" t="n"/>
      <c r="E87" s="5">
        <f>IFERROR(XLOOKUP(D87,'PLAYER POOL'!A:A,'PLAYER POOL'!Y:Y),0)</f>
        <v/>
      </c>
      <c r="F87" s="5">
        <f>E87-C87</f>
        <v/>
      </c>
      <c r="G87" s="5" t="n">
        <v>0</v>
      </c>
      <c r="H87" s="5">
        <f>F87-G87</f>
        <v/>
      </c>
      <c r="I87" s="8" t="n"/>
      <c r="J87" s="8" t="n"/>
      <c r="K87" s="5">
        <f>IF(H87&gt;=1,"Positive edge","No clear edge")</f>
        <v/>
      </c>
    </row>
    <row r="88">
      <c r="A88" s="8" t="n"/>
      <c r="B88" s="8" t="n"/>
      <c r="C88" s="5">
        <f>IFERROR(XLOOKUP(B88,'PLAYER POOL'!A:A,'PLAYER POOL'!Y:Y),0)</f>
        <v/>
      </c>
      <c r="D88" s="8" t="n"/>
      <c r="E88" s="5">
        <f>IFERROR(XLOOKUP(D88,'PLAYER POOL'!A:A,'PLAYER POOL'!Y:Y),0)</f>
        <v/>
      </c>
      <c r="F88" s="5">
        <f>E88-C88</f>
        <v/>
      </c>
      <c r="G88" s="5" t="n">
        <v>0</v>
      </c>
      <c r="H88" s="5">
        <f>F88-G88</f>
        <v/>
      </c>
      <c r="I88" s="8" t="n"/>
      <c r="J88" s="8" t="n"/>
      <c r="K88" s="5">
        <f>IF(H88&gt;=1,"Positive edge","No clear edge")</f>
        <v/>
      </c>
    </row>
    <row r="89">
      <c r="A89" s="8" t="n"/>
      <c r="B89" s="8" t="n"/>
      <c r="C89" s="5">
        <f>IFERROR(XLOOKUP(B89,'PLAYER POOL'!A:A,'PLAYER POOL'!Y:Y),0)</f>
        <v/>
      </c>
      <c r="D89" s="8" t="n"/>
      <c r="E89" s="5">
        <f>IFERROR(XLOOKUP(D89,'PLAYER POOL'!A:A,'PLAYER POOL'!Y:Y),0)</f>
        <v/>
      </c>
      <c r="F89" s="5">
        <f>E89-C89</f>
        <v/>
      </c>
      <c r="G89" s="5" t="n">
        <v>0</v>
      </c>
      <c r="H89" s="5">
        <f>F89-G89</f>
        <v/>
      </c>
      <c r="I89" s="8" t="n"/>
      <c r="J89" s="8" t="n"/>
      <c r="K89" s="5">
        <f>IF(H89&gt;=1,"Positive edge","No clear edge")</f>
        <v/>
      </c>
    </row>
    <row r="90">
      <c r="A90" s="8" t="n"/>
      <c r="B90" s="8" t="n"/>
      <c r="C90" s="5">
        <f>IFERROR(XLOOKUP(B90,'PLAYER POOL'!A:A,'PLAYER POOL'!Y:Y),0)</f>
        <v/>
      </c>
      <c r="D90" s="8" t="n"/>
      <c r="E90" s="5">
        <f>IFERROR(XLOOKUP(D90,'PLAYER POOL'!A:A,'PLAYER POOL'!Y:Y),0)</f>
        <v/>
      </c>
      <c r="F90" s="5">
        <f>E90-C90</f>
        <v/>
      </c>
      <c r="G90" s="5" t="n">
        <v>0</v>
      </c>
      <c r="H90" s="5">
        <f>F90-G90</f>
        <v/>
      </c>
      <c r="I90" s="8" t="n"/>
      <c r="J90" s="8" t="n"/>
      <c r="K90" s="5">
        <f>IF(H90&gt;=1,"Positive edge","No clear edge")</f>
        <v/>
      </c>
    </row>
    <row r="91">
      <c r="A91" s="8" t="n"/>
      <c r="B91" s="8" t="n"/>
      <c r="C91" s="5">
        <f>IFERROR(XLOOKUP(B91,'PLAYER POOL'!A:A,'PLAYER POOL'!Y:Y),0)</f>
        <v/>
      </c>
      <c r="D91" s="8" t="n"/>
      <c r="E91" s="5">
        <f>IFERROR(XLOOKUP(D91,'PLAYER POOL'!A:A,'PLAYER POOL'!Y:Y),0)</f>
        <v/>
      </c>
      <c r="F91" s="5">
        <f>E91-C91</f>
        <v/>
      </c>
      <c r="G91" s="5" t="n">
        <v>0</v>
      </c>
      <c r="H91" s="5">
        <f>F91-G91</f>
        <v/>
      </c>
      <c r="I91" s="8" t="n"/>
      <c r="J91" s="8" t="n"/>
      <c r="K91" s="5">
        <f>IF(H91&gt;=1,"Positive edge","No clear edge")</f>
        <v/>
      </c>
    </row>
    <row r="92">
      <c r="A92" s="8" t="n"/>
      <c r="B92" s="8" t="n"/>
      <c r="C92" s="5">
        <f>IFERROR(XLOOKUP(B92,'PLAYER POOL'!A:A,'PLAYER POOL'!Y:Y),0)</f>
        <v/>
      </c>
      <c r="D92" s="8" t="n"/>
      <c r="E92" s="5">
        <f>IFERROR(XLOOKUP(D92,'PLAYER POOL'!A:A,'PLAYER POOL'!Y:Y),0)</f>
        <v/>
      </c>
      <c r="F92" s="5">
        <f>E92-C92</f>
        <v/>
      </c>
      <c r="G92" s="5" t="n">
        <v>0</v>
      </c>
      <c r="H92" s="5">
        <f>F92-G92</f>
        <v/>
      </c>
      <c r="I92" s="8" t="n"/>
      <c r="J92" s="8" t="n"/>
      <c r="K92" s="5">
        <f>IF(H92&gt;=1,"Positive edge","No clear edge")</f>
        <v/>
      </c>
    </row>
    <row r="93">
      <c r="A93" s="8" t="n"/>
      <c r="B93" s="8" t="n"/>
      <c r="C93" s="5">
        <f>IFERROR(XLOOKUP(B93,'PLAYER POOL'!A:A,'PLAYER POOL'!Y:Y),0)</f>
        <v/>
      </c>
      <c r="D93" s="8" t="n"/>
      <c r="E93" s="5">
        <f>IFERROR(XLOOKUP(D93,'PLAYER POOL'!A:A,'PLAYER POOL'!Y:Y),0)</f>
        <v/>
      </c>
      <c r="F93" s="5">
        <f>E93-C93</f>
        <v/>
      </c>
      <c r="G93" s="5" t="n">
        <v>0</v>
      </c>
      <c r="H93" s="5">
        <f>F93-G93</f>
        <v/>
      </c>
      <c r="I93" s="8" t="n"/>
      <c r="J93" s="8" t="n"/>
      <c r="K93" s="5">
        <f>IF(H93&gt;=1,"Positive edge","No clear edge")</f>
        <v/>
      </c>
    </row>
    <row r="94">
      <c r="A94" s="8" t="n"/>
      <c r="B94" s="8" t="n"/>
      <c r="C94" s="5">
        <f>IFERROR(XLOOKUP(B94,'PLAYER POOL'!A:A,'PLAYER POOL'!Y:Y),0)</f>
        <v/>
      </c>
      <c r="D94" s="8" t="n"/>
      <c r="E94" s="5">
        <f>IFERROR(XLOOKUP(D94,'PLAYER POOL'!A:A,'PLAYER POOL'!Y:Y),0)</f>
        <v/>
      </c>
      <c r="F94" s="5">
        <f>E94-C94</f>
        <v/>
      </c>
      <c r="G94" s="5" t="n">
        <v>0</v>
      </c>
      <c r="H94" s="5">
        <f>F94-G94</f>
        <v/>
      </c>
      <c r="I94" s="8" t="n"/>
      <c r="J94" s="8" t="n"/>
      <c r="K94" s="5">
        <f>IF(H94&gt;=1,"Positive edge","No clear edge")</f>
        <v/>
      </c>
    </row>
    <row r="95">
      <c r="A95" s="8" t="n"/>
      <c r="B95" s="8" t="n"/>
      <c r="C95" s="5">
        <f>IFERROR(XLOOKUP(B95,'PLAYER POOL'!A:A,'PLAYER POOL'!Y:Y),0)</f>
        <v/>
      </c>
      <c r="D95" s="8" t="n"/>
      <c r="E95" s="5">
        <f>IFERROR(XLOOKUP(D95,'PLAYER POOL'!A:A,'PLAYER POOL'!Y:Y),0)</f>
        <v/>
      </c>
      <c r="F95" s="5">
        <f>E95-C95</f>
        <v/>
      </c>
      <c r="G95" s="5" t="n">
        <v>0</v>
      </c>
      <c r="H95" s="5">
        <f>F95-G95</f>
        <v/>
      </c>
      <c r="I95" s="8" t="n"/>
      <c r="J95" s="8" t="n"/>
      <c r="K95" s="5">
        <f>IF(H95&gt;=1,"Positive edge","No clear edge")</f>
        <v/>
      </c>
    </row>
    <row r="96">
      <c r="A96" s="8" t="n"/>
      <c r="B96" s="8" t="n"/>
      <c r="C96" s="5">
        <f>IFERROR(XLOOKUP(B96,'PLAYER POOL'!A:A,'PLAYER POOL'!Y:Y),0)</f>
        <v/>
      </c>
      <c r="D96" s="8" t="n"/>
      <c r="E96" s="5">
        <f>IFERROR(XLOOKUP(D96,'PLAYER POOL'!A:A,'PLAYER POOL'!Y:Y),0)</f>
        <v/>
      </c>
      <c r="F96" s="5">
        <f>E96-C96</f>
        <v/>
      </c>
      <c r="G96" s="5" t="n">
        <v>0</v>
      </c>
      <c r="H96" s="5">
        <f>F96-G96</f>
        <v/>
      </c>
      <c r="I96" s="8" t="n"/>
      <c r="J96" s="8" t="n"/>
      <c r="K96" s="5">
        <f>IF(H96&gt;=1,"Positive edge","No clear edge")</f>
        <v/>
      </c>
    </row>
    <row r="97">
      <c r="A97" s="8" t="n"/>
      <c r="B97" s="8" t="n"/>
      <c r="C97" s="5">
        <f>IFERROR(XLOOKUP(B97,'PLAYER POOL'!A:A,'PLAYER POOL'!Y:Y),0)</f>
        <v/>
      </c>
      <c r="D97" s="8" t="n"/>
      <c r="E97" s="5">
        <f>IFERROR(XLOOKUP(D97,'PLAYER POOL'!A:A,'PLAYER POOL'!Y:Y),0)</f>
        <v/>
      </c>
      <c r="F97" s="5">
        <f>E97-C97</f>
        <v/>
      </c>
      <c r="G97" s="5" t="n">
        <v>0</v>
      </c>
      <c r="H97" s="5">
        <f>F97-G97</f>
        <v/>
      </c>
      <c r="I97" s="8" t="n"/>
      <c r="J97" s="8" t="n"/>
      <c r="K97" s="5">
        <f>IF(H97&gt;=1,"Positive edge","No clear edge")</f>
        <v/>
      </c>
    </row>
    <row r="98">
      <c r="A98" s="8" t="n"/>
      <c r="B98" s="8" t="n"/>
      <c r="C98" s="5">
        <f>IFERROR(XLOOKUP(B98,'PLAYER POOL'!A:A,'PLAYER POOL'!Y:Y),0)</f>
        <v/>
      </c>
      <c r="D98" s="8" t="n"/>
      <c r="E98" s="5">
        <f>IFERROR(XLOOKUP(D98,'PLAYER POOL'!A:A,'PLAYER POOL'!Y:Y),0)</f>
        <v/>
      </c>
      <c r="F98" s="5">
        <f>E98-C98</f>
        <v/>
      </c>
      <c r="G98" s="5" t="n">
        <v>0</v>
      </c>
      <c r="H98" s="5">
        <f>F98-G98</f>
        <v/>
      </c>
      <c r="I98" s="8" t="n"/>
      <c r="J98" s="8" t="n"/>
      <c r="K98" s="5">
        <f>IF(H98&gt;=1,"Positive edge","No clear edge")</f>
        <v/>
      </c>
    </row>
    <row r="99">
      <c r="A99" s="8" t="n"/>
      <c r="B99" s="8" t="n"/>
      <c r="C99" s="5">
        <f>IFERROR(XLOOKUP(B99,'PLAYER POOL'!A:A,'PLAYER POOL'!Y:Y),0)</f>
        <v/>
      </c>
      <c r="D99" s="8" t="n"/>
      <c r="E99" s="5">
        <f>IFERROR(XLOOKUP(D99,'PLAYER POOL'!A:A,'PLAYER POOL'!Y:Y),0)</f>
        <v/>
      </c>
      <c r="F99" s="5">
        <f>E99-C99</f>
        <v/>
      </c>
      <c r="G99" s="5" t="n">
        <v>0</v>
      </c>
      <c r="H99" s="5">
        <f>F99-G99</f>
        <v/>
      </c>
      <c r="I99" s="8" t="n"/>
      <c r="J99" s="8" t="n"/>
      <c r="K99" s="5">
        <f>IF(H99&gt;=1,"Positive edge","No clear edge")</f>
        <v/>
      </c>
    </row>
    <row r="100">
      <c r="A100" s="8" t="n"/>
      <c r="B100" s="8" t="n"/>
      <c r="C100" s="5">
        <f>IFERROR(XLOOKUP(B100,'PLAYER POOL'!A:A,'PLAYER POOL'!Y:Y),0)</f>
        <v/>
      </c>
      <c r="D100" s="8" t="n"/>
      <c r="E100" s="5">
        <f>IFERROR(XLOOKUP(D100,'PLAYER POOL'!A:A,'PLAYER POOL'!Y:Y),0)</f>
        <v/>
      </c>
      <c r="F100" s="5">
        <f>E100-C100</f>
        <v/>
      </c>
      <c r="G100" s="5" t="n">
        <v>0</v>
      </c>
      <c r="H100" s="5">
        <f>F100-G100</f>
        <v/>
      </c>
      <c r="I100" s="8" t="n"/>
      <c r="J100" s="8" t="n"/>
      <c r="K100" s="5">
        <f>IF(H100&gt;=1,"Positive edge","No clear edge")</f>
        <v/>
      </c>
    </row>
    <row r="101">
      <c r="A101" s="8" t="n"/>
      <c r="B101" s="8" t="n"/>
      <c r="C101" s="5">
        <f>IFERROR(XLOOKUP(B101,'PLAYER POOL'!A:A,'PLAYER POOL'!Y:Y),0)</f>
        <v/>
      </c>
      <c r="D101" s="8" t="n"/>
      <c r="E101" s="5">
        <f>IFERROR(XLOOKUP(D101,'PLAYER POOL'!A:A,'PLAYER POOL'!Y:Y),0)</f>
        <v/>
      </c>
      <c r="F101" s="5">
        <f>E101-C101</f>
        <v/>
      </c>
      <c r="G101" s="5" t="n">
        <v>0</v>
      </c>
      <c r="H101" s="5">
        <f>F101-G101</f>
        <v/>
      </c>
      <c r="I101" s="8" t="n"/>
      <c r="J101" s="8" t="n"/>
      <c r="K101" s="5">
        <f>IF(H101&gt;=1,"Positive edge","No clear edge")</f>
        <v/>
      </c>
    </row>
    <row r="105">
      <c r="A105" s="2" t="inlineStr">
        <is>
          <t>How to use transfer cost</t>
        </is>
      </c>
      <c r="B105" s="2" t="inlineStr">
        <is>
          <t>Enter 0 for a free transfer. Enter 4 per extra transfer you expect to take. The workbook deliberately keeps this manual because the actual cost depends on your saved free transfers.</t>
        </is>
      </c>
    </row>
  </sheetData>
  <mergeCells count="1">
    <mergeCell ref="B105:K10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  <col width="19" customWidth="1" min="5" max="5"/>
    <col width="42" customWidth="1" min="6" max="6"/>
    <col width="34" customWidth="1" min="7" max="7"/>
    <col width="42" customWidth="1" min="8" max="8"/>
    <col width="10" customWidth="1" min="9" max="9"/>
    <col width="10" customWidth="1" min="10" max="10"/>
    <col width="13" customWidth="1" min="11" max="11"/>
  </cols>
  <sheetData>
    <row r="1">
      <c r="A1" s="6" t="inlineStr">
        <is>
          <t>Slot</t>
        </is>
      </c>
      <c r="B1" s="6" t="inlineStr">
        <is>
          <t>Player</t>
        </is>
      </c>
      <c r="C1" s="6" t="inlineStr">
        <is>
          <t>Club</t>
        </is>
      </c>
      <c r="D1" s="6" t="inlineStr">
        <is>
          <t>Pos</t>
        </is>
      </c>
      <c r="E1" s="6" t="inlineStr">
        <is>
          <t>Purchase price £m</t>
        </is>
      </c>
      <c r="F1" s="6" t="inlineStr">
        <is>
          <t>Current price £m</t>
        </is>
      </c>
      <c r="G1" s="6" t="inlineStr">
        <is>
          <t>Selling price £m</t>
        </is>
      </c>
      <c r="H1" s="6" t="inlineStr">
        <is>
          <t>GW xP</t>
        </is>
      </c>
      <c r="I1" s="6" t="inlineStr">
        <is>
          <t>Starter?</t>
        </is>
      </c>
      <c r="J1" s="6" t="inlineStr">
        <is>
          <t>Captain?</t>
        </is>
      </c>
      <c r="K1" s="6" t="inlineStr">
        <is>
          <t>Bench order</t>
        </is>
      </c>
    </row>
    <row r="2">
      <c r="A2" s="5" t="inlineStr">
        <is>
          <t>GK1</t>
        </is>
      </c>
      <c r="B2" s="8" t="n"/>
      <c r="C2" s="5">
        <f>IFERROR(XLOOKUP(B2,'PLAYER POOL'!A:A,'PLAYER POOL'!B:B),"")</f>
        <v/>
      </c>
      <c r="D2" s="5">
        <f>IFERROR(XLOOKUP(B2,'PLAYER POOL'!A:A,'PLAYER POOL'!C:C),"")</f>
        <v/>
      </c>
      <c r="E2" s="8" t="n"/>
      <c r="F2" s="5">
        <f>IFERROR(XLOOKUP(B2,'PLAYER POOL'!A:A,'PLAYER POOL'!D:D),"")</f>
        <v/>
      </c>
      <c r="G2" s="5">
        <f>IFERROR(E2+MAX(0,F2-E2)/2,0)</f>
        <v/>
      </c>
      <c r="H2" s="5">
        <f>IFERROR(XLOOKUP(B2,'PLAYER POOL'!A:A,'PLAYER POOL'!Y:Y),0)</f>
        <v/>
      </c>
      <c r="I2" s="8" t="n"/>
      <c r="J2" s="8" t="n"/>
      <c r="K2" s="8" t="n"/>
    </row>
    <row r="3">
      <c r="A3" s="5" t="inlineStr">
        <is>
          <t>GK2</t>
        </is>
      </c>
      <c r="B3" s="8" t="n"/>
      <c r="C3" s="5">
        <f>IFERROR(XLOOKUP(B3,'PLAYER POOL'!A:A,'PLAYER POOL'!B:B),"")</f>
        <v/>
      </c>
      <c r="D3" s="5">
        <f>IFERROR(XLOOKUP(B3,'PLAYER POOL'!A:A,'PLAYER POOL'!C:C),"")</f>
        <v/>
      </c>
      <c r="E3" s="8" t="n"/>
      <c r="F3" s="5">
        <f>IFERROR(XLOOKUP(B3,'PLAYER POOL'!A:A,'PLAYER POOL'!D:D),"")</f>
        <v/>
      </c>
      <c r="G3" s="5">
        <f>IFERROR(E3+MAX(0,F3-E3)/2,0)</f>
        <v/>
      </c>
      <c r="H3" s="5">
        <f>IFERROR(XLOOKUP(B3,'PLAYER POOL'!A:A,'PLAYER POOL'!Y:Y),0)</f>
        <v/>
      </c>
      <c r="I3" s="8" t="n"/>
      <c r="J3" s="8" t="n"/>
      <c r="K3" s="8" t="n"/>
    </row>
    <row r="4">
      <c r="A4" s="5" t="inlineStr">
        <is>
          <t>DEF1</t>
        </is>
      </c>
      <c r="B4" s="8" t="n"/>
      <c r="C4" s="5">
        <f>IFERROR(XLOOKUP(B4,'PLAYER POOL'!A:A,'PLAYER POOL'!B:B),"")</f>
        <v/>
      </c>
      <c r="D4" s="5">
        <f>IFERROR(XLOOKUP(B4,'PLAYER POOL'!A:A,'PLAYER POOL'!C:C),"")</f>
        <v/>
      </c>
      <c r="E4" s="8" t="n"/>
      <c r="F4" s="5">
        <f>IFERROR(XLOOKUP(B4,'PLAYER POOL'!A:A,'PLAYER POOL'!D:D),"")</f>
        <v/>
      </c>
      <c r="G4" s="5">
        <f>IFERROR(E4+MAX(0,F4-E4)/2,0)</f>
        <v/>
      </c>
      <c r="H4" s="5">
        <f>IFERROR(XLOOKUP(B4,'PLAYER POOL'!A:A,'PLAYER POOL'!Y:Y),0)</f>
        <v/>
      </c>
      <c r="I4" s="8" t="n"/>
      <c r="J4" s="8" t="n"/>
      <c r="K4" s="8" t="n"/>
    </row>
    <row r="5">
      <c r="A5" s="5" t="inlineStr">
        <is>
          <t>DEF2</t>
        </is>
      </c>
      <c r="B5" s="8" t="n"/>
      <c r="C5" s="5">
        <f>IFERROR(XLOOKUP(B5,'PLAYER POOL'!A:A,'PLAYER POOL'!B:B),"")</f>
        <v/>
      </c>
      <c r="D5" s="5">
        <f>IFERROR(XLOOKUP(B5,'PLAYER POOL'!A:A,'PLAYER POOL'!C:C),"")</f>
        <v/>
      </c>
      <c r="E5" s="8" t="n"/>
      <c r="F5" s="5">
        <f>IFERROR(XLOOKUP(B5,'PLAYER POOL'!A:A,'PLAYER POOL'!D:D),"")</f>
        <v/>
      </c>
      <c r="G5" s="5">
        <f>IFERROR(E5+MAX(0,F5-E5)/2,0)</f>
        <v/>
      </c>
      <c r="H5" s="5">
        <f>IFERROR(XLOOKUP(B5,'PLAYER POOL'!A:A,'PLAYER POOL'!Y:Y),0)</f>
        <v/>
      </c>
      <c r="I5" s="8" t="n"/>
      <c r="J5" s="8" t="n"/>
      <c r="K5" s="8" t="n"/>
    </row>
    <row r="6">
      <c r="A6" s="5" t="inlineStr">
        <is>
          <t>DEF3</t>
        </is>
      </c>
      <c r="B6" s="8" t="n"/>
      <c r="C6" s="5">
        <f>IFERROR(XLOOKUP(B6,'PLAYER POOL'!A:A,'PLAYER POOL'!B:B),"")</f>
        <v/>
      </c>
      <c r="D6" s="5">
        <f>IFERROR(XLOOKUP(B6,'PLAYER POOL'!A:A,'PLAYER POOL'!C:C),"")</f>
        <v/>
      </c>
      <c r="E6" s="8" t="n"/>
      <c r="F6" s="5">
        <f>IFERROR(XLOOKUP(B6,'PLAYER POOL'!A:A,'PLAYER POOL'!D:D),"")</f>
        <v/>
      </c>
      <c r="G6" s="5">
        <f>IFERROR(E6+MAX(0,F6-E6)/2,0)</f>
        <v/>
      </c>
      <c r="H6" s="5">
        <f>IFERROR(XLOOKUP(B6,'PLAYER POOL'!A:A,'PLAYER POOL'!Y:Y),0)</f>
        <v/>
      </c>
      <c r="I6" s="8" t="n"/>
      <c r="J6" s="8" t="n"/>
      <c r="K6" s="8" t="n"/>
    </row>
    <row r="7">
      <c r="A7" s="5" t="inlineStr">
        <is>
          <t>DEF4</t>
        </is>
      </c>
      <c r="B7" s="8" t="n"/>
      <c r="C7" s="5">
        <f>IFERROR(XLOOKUP(B7,'PLAYER POOL'!A:A,'PLAYER POOL'!B:B),"")</f>
        <v/>
      </c>
      <c r="D7" s="5">
        <f>IFERROR(XLOOKUP(B7,'PLAYER POOL'!A:A,'PLAYER POOL'!C:C),"")</f>
        <v/>
      </c>
      <c r="E7" s="8" t="n"/>
      <c r="F7" s="5">
        <f>IFERROR(XLOOKUP(B7,'PLAYER POOL'!A:A,'PLAYER POOL'!D:D),"")</f>
        <v/>
      </c>
      <c r="G7" s="5">
        <f>IFERROR(E7+MAX(0,F7-E7)/2,0)</f>
        <v/>
      </c>
      <c r="H7" s="5">
        <f>IFERROR(XLOOKUP(B7,'PLAYER POOL'!A:A,'PLAYER POOL'!Y:Y),0)</f>
        <v/>
      </c>
      <c r="I7" s="8" t="n"/>
      <c r="J7" s="8" t="n"/>
      <c r="K7" s="8" t="n"/>
    </row>
    <row r="8">
      <c r="A8" s="5" t="inlineStr">
        <is>
          <t>DEF5</t>
        </is>
      </c>
      <c r="B8" s="8" t="n"/>
      <c r="C8" s="5">
        <f>IFERROR(XLOOKUP(B8,'PLAYER POOL'!A:A,'PLAYER POOL'!B:B),"")</f>
        <v/>
      </c>
      <c r="D8" s="5">
        <f>IFERROR(XLOOKUP(B8,'PLAYER POOL'!A:A,'PLAYER POOL'!C:C),"")</f>
        <v/>
      </c>
      <c r="E8" s="8" t="n"/>
      <c r="F8" s="5">
        <f>IFERROR(XLOOKUP(B8,'PLAYER POOL'!A:A,'PLAYER POOL'!D:D),"")</f>
        <v/>
      </c>
      <c r="G8" s="5">
        <f>IFERROR(E8+MAX(0,F8-E8)/2,0)</f>
        <v/>
      </c>
      <c r="H8" s="5">
        <f>IFERROR(XLOOKUP(B8,'PLAYER POOL'!A:A,'PLAYER POOL'!Y:Y),0)</f>
        <v/>
      </c>
      <c r="I8" s="8" t="n"/>
      <c r="J8" s="8" t="n"/>
      <c r="K8" s="8" t="n"/>
    </row>
    <row r="9">
      <c r="A9" s="5" t="inlineStr">
        <is>
          <t>MID1</t>
        </is>
      </c>
      <c r="B9" s="8" t="n"/>
      <c r="C9" s="5">
        <f>IFERROR(XLOOKUP(B9,'PLAYER POOL'!A:A,'PLAYER POOL'!B:B),"")</f>
        <v/>
      </c>
      <c r="D9" s="5">
        <f>IFERROR(XLOOKUP(B9,'PLAYER POOL'!A:A,'PLAYER POOL'!C:C),"")</f>
        <v/>
      </c>
      <c r="E9" s="8" t="n"/>
      <c r="F9" s="5">
        <f>IFERROR(XLOOKUP(B9,'PLAYER POOL'!A:A,'PLAYER POOL'!D:D),"")</f>
        <v/>
      </c>
      <c r="G9" s="5">
        <f>IFERROR(E9+MAX(0,F9-E9)/2,0)</f>
        <v/>
      </c>
      <c r="H9" s="5">
        <f>IFERROR(XLOOKUP(B9,'PLAYER POOL'!A:A,'PLAYER POOL'!Y:Y),0)</f>
        <v/>
      </c>
      <c r="I9" s="8" t="n"/>
      <c r="J9" s="8" t="n"/>
      <c r="K9" s="8" t="n"/>
    </row>
    <row r="10">
      <c r="A10" s="5" t="inlineStr">
        <is>
          <t>MID2</t>
        </is>
      </c>
      <c r="B10" s="8" t="n"/>
      <c r="C10" s="5">
        <f>IFERROR(XLOOKUP(B10,'PLAYER POOL'!A:A,'PLAYER POOL'!B:B),"")</f>
        <v/>
      </c>
      <c r="D10" s="5">
        <f>IFERROR(XLOOKUP(B10,'PLAYER POOL'!A:A,'PLAYER POOL'!C:C),"")</f>
        <v/>
      </c>
      <c r="E10" s="8" t="n"/>
      <c r="F10" s="5">
        <f>IFERROR(XLOOKUP(B10,'PLAYER POOL'!A:A,'PLAYER POOL'!D:D),"")</f>
        <v/>
      </c>
      <c r="G10" s="5">
        <f>IFERROR(E10+MAX(0,F10-E10)/2,0)</f>
        <v/>
      </c>
      <c r="H10" s="5">
        <f>IFERROR(XLOOKUP(B10,'PLAYER POOL'!A:A,'PLAYER POOL'!Y:Y),0)</f>
        <v/>
      </c>
      <c r="I10" s="8" t="n"/>
      <c r="J10" s="8" t="n"/>
      <c r="K10" s="8" t="n"/>
    </row>
    <row r="11">
      <c r="A11" s="5" t="inlineStr">
        <is>
          <t>MID3</t>
        </is>
      </c>
      <c r="B11" s="8" t="n"/>
      <c r="C11" s="5">
        <f>IFERROR(XLOOKUP(B11,'PLAYER POOL'!A:A,'PLAYER POOL'!B:B),"")</f>
        <v/>
      </c>
      <c r="D11" s="5">
        <f>IFERROR(XLOOKUP(B11,'PLAYER POOL'!A:A,'PLAYER POOL'!C:C),"")</f>
        <v/>
      </c>
      <c r="E11" s="8" t="n"/>
      <c r="F11" s="5">
        <f>IFERROR(XLOOKUP(B11,'PLAYER POOL'!A:A,'PLAYER POOL'!D:D),"")</f>
        <v/>
      </c>
      <c r="G11" s="5">
        <f>IFERROR(E11+MAX(0,F11-E11)/2,0)</f>
        <v/>
      </c>
      <c r="H11" s="5">
        <f>IFERROR(XLOOKUP(B11,'PLAYER POOL'!A:A,'PLAYER POOL'!Y:Y),0)</f>
        <v/>
      </c>
      <c r="I11" s="8" t="n"/>
      <c r="J11" s="8" t="n"/>
      <c r="K11" s="8" t="n"/>
    </row>
    <row r="12">
      <c r="A12" s="5" t="inlineStr">
        <is>
          <t>MID4</t>
        </is>
      </c>
      <c r="B12" s="8" t="n"/>
      <c r="C12" s="5">
        <f>IFERROR(XLOOKUP(B12,'PLAYER POOL'!A:A,'PLAYER POOL'!B:B),"")</f>
        <v/>
      </c>
      <c r="D12" s="5">
        <f>IFERROR(XLOOKUP(B12,'PLAYER POOL'!A:A,'PLAYER POOL'!C:C),"")</f>
        <v/>
      </c>
      <c r="E12" s="8" t="n"/>
      <c r="F12" s="5">
        <f>IFERROR(XLOOKUP(B12,'PLAYER POOL'!A:A,'PLAYER POOL'!D:D),"")</f>
        <v/>
      </c>
      <c r="G12" s="5">
        <f>IFERROR(E12+MAX(0,F12-E12)/2,0)</f>
        <v/>
      </c>
      <c r="H12" s="5">
        <f>IFERROR(XLOOKUP(B12,'PLAYER POOL'!A:A,'PLAYER POOL'!Y:Y),0)</f>
        <v/>
      </c>
      <c r="I12" s="8" t="n"/>
      <c r="J12" s="8" t="n"/>
      <c r="K12" s="8" t="n"/>
    </row>
    <row r="13">
      <c r="A13" s="5" t="inlineStr">
        <is>
          <t>MID5</t>
        </is>
      </c>
      <c r="B13" s="8" t="n"/>
      <c r="C13" s="5">
        <f>IFERROR(XLOOKUP(B13,'PLAYER POOL'!A:A,'PLAYER POOL'!B:B),"")</f>
        <v/>
      </c>
      <c r="D13" s="5">
        <f>IFERROR(XLOOKUP(B13,'PLAYER POOL'!A:A,'PLAYER POOL'!C:C),"")</f>
        <v/>
      </c>
      <c r="E13" s="8" t="n"/>
      <c r="F13" s="5">
        <f>IFERROR(XLOOKUP(B13,'PLAYER POOL'!A:A,'PLAYER POOL'!D:D),"")</f>
        <v/>
      </c>
      <c r="G13" s="5">
        <f>IFERROR(E13+MAX(0,F13-E13)/2,0)</f>
        <v/>
      </c>
      <c r="H13" s="5">
        <f>IFERROR(XLOOKUP(B13,'PLAYER POOL'!A:A,'PLAYER POOL'!Y:Y),0)</f>
        <v/>
      </c>
      <c r="I13" s="8" t="n"/>
      <c r="J13" s="8" t="n"/>
      <c r="K13" s="8" t="n"/>
    </row>
    <row r="14">
      <c r="A14" s="5" t="inlineStr">
        <is>
          <t>FWD1</t>
        </is>
      </c>
      <c r="B14" s="8" t="n"/>
      <c r="C14" s="5">
        <f>IFERROR(XLOOKUP(B14,'PLAYER POOL'!A:A,'PLAYER POOL'!B:B),"")</f>
        <v/>
      </c>
      <c r="D14" s="5">
        <f>IFERROR(XLOOKUP(B14,'PLAYER POOL'!A:A,'PLAYER POOL'!C:C),"")</f>
        <v/>
      </c>
      <c r="E14" s="8" t="n"/>
      <c r="F14" s="5">
        <f>IFERROR(XLOOKUP(B14,'PLAYER POOL'!A:A,'PLAYER POOL'!D:D),"")</f>
        <v/>
      </c>
      <c r="G14" s="5">
        <f>IFERROR(E14+MAX(0,F14-E14)/2,0)</f>
        <v/>
      </c>
      <c r="H14" s="5">
        <f>IFERROR(XLOOKUP(B14,'PLAYER POOL'!A:A,'PLAYER POOL'!Y:Y),0)</f>
        <v/>
      </c>
      <c r="I14" s="8" t="n"/>
      <c r="J14" s="8" t="n"/>
      <c r="K14" s="8" t="n"/>
    </row>
    <row r="15">
      <c r="A15" s="5" t="inlineStr">
        <is>
          <t>FWD2</t>
        </is>
      </c>
      <c r="B15" s="8" t="n"/>
      <c r="C15" s="5">
        <f>IFERROR(XLOOKUP(B15,'PLAYER POOL'!A:A,'PLAYER POOL'!B:B),"")</f>
        <v/>
      </c>
      <c r="D15" s="5">
        <f>IFERROR(XLOOKUP(B15,'PLAYER POOL'!A:A,'PLAYER POOL'!C:C),"")</f>
        <v/>
      </c>
      <c r="E15" s="8" t="n"/>
      <c r="F15" s="5">
        <f>IFERROR(XLOOKUP(B15,'PLAYER POOL'!A:A,'PLAYER POOL'!D:D),"")</f>
        <v/>
      </c>
      <c r="G15" s="5">
        <f>IFERROR(E15+MAX(0,F15-E15)/2,0)</f>
        <v/>
      </c>
      <c r="H15" s="5">
        <f>IFERROR(XLOOKUP(B15,'PLAYER POOL'!A:A,'PLAYER POOL'!Y:Y),0)</f>
        <v/>
      </c>
      <c r="I15" s="8" t="n"/>
      <c r="J15" s="8" t="n"/>
      <c r="K15" s="8" t="n"/>
    </row>
    <row r="16">
      <c r="A16" s="5" t="inlineStr">
        <is>
          <t>FWD3</t>
        </is>
      </c>
      <c r="B16" s="8" t="n"/>
      <c r="C16" s="5">
        <f>IFERROR(XLOOKUP(B16,'PLAYER POOL'!A:A,'PLAYER POOL'!B:B),"")</f>
        <v/>
      </c>
      <c r="D16" s="5">
        <f>IFERROR(XLOOKUP(B16,'PLAYER POOL'!A:A,'PLAYER POOL'!C:C),"")</f>
        <v/>
      </c>
      <c r="E16" s="8" t="n"/>
      <c r="F16" s="5">
        <f>IFERROR(XLOOKUP(B16,'PLAYER POOL'!A:A,'PLAYER POOL'!D:D),"")</f>
        <v/>
      </c>
      <c r="G16" s="5">
        <f>IFERROR(E16+MAX(0,F16-E16)/2,0)</f>
        <v/>
      </c>
      <c r="H16" s="5">
        <f>IFERROR(XLOOKUP(B16,'PLAYER POOL'!A:A,'PLAYER POOL'!Y:Y),0)</f>
        <v/>
      </c>
      <c r="I16" s="8" t="n"/>
      <c r="J16" s="8" t="n"/>
      <c r="K16" s="8" t="n"/>
    </row>
    <row r="19">
      <c r="A19" s="4" t="inlineStr">
        <is>
          <t>Team summary</t>
        </is>
      </c>
      <c r="B19" s="8" t="n"/>
    </row>
    <row r="20">
      <c r="A20" s="4" t="inlineStr">
        <is>
          <t>Squad value</t>
        </is>
      </c>
      <c r="B20" s="5">
        <f>SUM(F2:F16)</f>
        <v/>
      </c>
    </row>
    <row r="21">
      <c r="A21" s="4" t="inlineStr">
        <is>
          <t>Approx selling value</t>
        </is>
      </c>
      <c r="B21" s="5">
        <f>SUM(G2:G16)</f>
        <v/>
      </c>
    </row>
    <row r="22">
      <c r="A22" s="4" t="inlineStr">
        <is>
          <t>Projected GW points (XI only)</t>
        </is>
      </c>
      <c r="B22" s="5">
        <f>SUMIF(I2:I16,"Yes",H2:H16)+SUMIF(J2:J16,"Yes",H2:H16)</f>
        <v/>
      </c>
    </row>
    <row r="23">
      <c r="A23" s="4" t="inlineStr">
        <is>
          <t>Projected captaincy points</t>
        </is>
      </c>
      <c r="B23" s="5">
        <f>SUMIF(J2:J16,"Yes",H2:H16)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0" customWidth="1" min="4" max="4"/>
    <col width="19" customWidth="1" min="5" max="5"/>
    <col width="21" customWidth="1" min="6" max="6"/>
    <col width="10" customWidth="1" min="7" max="7"/>
  </cols>
  <sheetData>
    <row r="1">
      <c r="A1" s="6" t="inlineStr">
        <is>
          <t>Chip</t>
        </is>
      </c>
      <c r="B1" s="6" t="inlineStr">
        <is>
          <t>Half</t>
        </is>
      </c>
      <c r="C1" s="6" t="inlineStr">
        <is>
          <t>Status</t>
        </is>
      </c>
      <c r="D1" s="6" t="inlineStr">
        <is>
          <t>GW used</t>
        </is>
      </c>
      <c r="E1" s="6" t="inlineStr">
        <is>
          <t>Opportunity score</t>
        </is>
      </c>
      <c r="F1" s="6" t="inlineStr">
        <is>
          <t>Trigger / rationale</t>
        </is>
      </c>
      <c r="G1" s="6" t="inlineStr">
        <is>
          <t>Review</t>
        </is>
      </c>
    </row>
    <row r="2">
      <c r="A2" s="5" t="inlineStr">
        <is>
          <t>Wildcard</t>
        </is>
      </c>
      <c r="B2" s="5" t="inlineStr">
        <is>
          <t>1st</t>
        </is>
      </c>
      <c r="C2" s="5" t="inlineStr">
        <is>
          <t>Available</t>
        </is>
      </c>
      <c r="D2" s="8" t="n"/>
      <c r="E2" s="5" t="inlineStr"/>
      <c r="F2" s="8" t="n"/>
      <c r="G2" s="8" t="n"/>
    </row>
    <row r="3">
      <c r="A3" s="5" t="inlineStr">
        <is>
          <t>Free Hit</t>
        </is>
      </c>
      <c r="B3" s="5" t="inlineStr">
        <is>
          <t>1st</t>
        </is>
      </c>
      <c r="C3" s="5" t="inlineStr">
        <is>
          <t>Available</t>
        </is>
      </c>
      <c r="D3" s="8" t="n"/>
      <c r="E3" s="5" t="inlineStr"/>
      <c r="F3" s="8" t="n"/>
      <c r="G3" s="8" t="n"/>
    </row>
    <row r="4">
      <c r="A4" s="5" t="inlineStr">
        <is>
          <t>Triple Captain</t>
        </is>
      </c>
      <c r="B4" s="5" t="inlineStr">
        <is>
          <t>1st</t>
        </is>
      </c>
      <c r="C4" s="5" t="inlineStr">
        <is>
          <t>Available</t>
        </is>
      </c>
      <c r="D4" s="8" t="n"/>
      <c r="E4" s="5" t="inlineStr"/>
      <c r="F4" s="8" t="n"/>
      <c r="G4" s="8" t="n"/>
    </row>
    <row r="5">
      <c r="A5" s="5" t="inlineStr">
        <is>
          <t>Bench Boost</t>
        </is>
      </c>
      <c r="B5" s="5" t="inlineStr">
        <is>
          <t>1st</t>
        </is>
      </c>
      <c r="C5" s="5" t="inlineStr">
        <is>
          <t>Available</t>
        </is>
      </c>
      <c r="D5" s="8" t="n"/>
      <c r="E5" s="5" t="inlineStr"/>
      <c r="F5" s="8" t="n"/>
      <c r="G5" s="8" t="n"/>
    </row>
    <row r="6">
      <c r="A6" s="5" t="inlineStr">
        <is>
          <t>Wildcard</t>
        </is>
      </c>
      <c r="B6" s="5" t="inlineStr">
        <is>
          <t>2nd</t>
        </is>
      </c>
      <c r="C6" s="5" t="inlineStr">
        <is>
          <t>Available</t>
        </is>
      </c>
      <c r="D6" s="8" t="n"/>
      <c r="E6" s="5" t="inlineStr"/>
      <c r="F6" s="8" t="n"/>
      <c r="G6" s="8" t="n"/>
    </row>
    <row r="7">
      <c r="A7" s="5" t="inlineStr">
        <is>
          <t>Free Hit</t>
        </is>
      </c>
      <c r="B7" s="5" t="inlineStr">
        <is>
          <t>2nd</t>
        </is>
      </c>
      <c r="C7" s="5" t="inlineStr">
        <is>
          <t>Available</t>
        </is>
      </c>
      <c r="D7" s="8" t="n"/>
      <c r="E7" s="5" t="inlineStr"/>
      <c r="F7" s="8" t="n"/>
      <c r="G7" s="8" t="n"/>
    </row>
    <row r="8">
      <c r="A8" s="5" t="inlineStr">
        <is>
          <t>Triple Captain</t>
        </is>
      </c>
      <c r="B8" s="5" t="inlineStr">
        <is>
          <t>2nd</t>
        </is>
      </c>
      <c r="C8" s="5" t="inlineStr">
        <is>
          <t>Available</t>
        </is>
      </c>
      <c r="D8" s="8" t="n"/>
      <c r="E8" s="5" t="inlineStr"/>
      <c r="F8" s="8" t="n"/>
      <c r="G8" s="8" t="n"/>
    </row>
    <row r="9">
      <c r="A9" s="5" t="inlineStr">
        <is>
          <t>Bench Boost</t>
        </is>
      </c>
      <c r="B9" s="5" t="inlineStr">
        <is>
          <t>2nd</t>
        </is>
      </c>
      <c r="C9" s="5" t="inlineStr">
        <is>
          <t>Available</t>
        </is>
      </c>
      <c r="D9" s="8" t="n"/>
      <c r="E9" s="5" t="inlineStr"/>
      <c r="F9" s="8" t="n"/>
      <c r="G9" s="8" t="n"/>
    </row>
  </sheetData>
  <dataValidations count="1">
    <dataValidation sqref="C2:C9" showDropDown="0" showInputMessage="0" showErrorMessage="0" allowBlank="1" type="list">
      <formula1>"Available,Used"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>
      <c r="A1" s="27" t="inlineStr">
        <is>
          <t>FPL Decision Dashboard</t>
        </is>
      </c>
    </row>
    <row r="2">
      <c r="F2" s="17" t="n"/>
      <c r="G2" s="18" t="n"/>
    </row>
    <row r="3">
      <c r="A3" s="4" t="inlineStr">
        <is>
          <t>Squad value</t>
        </is>
      </c>
      <c r="B3" s="5">
        <f>TEAM!B20</f>
        <v/>
      </c>
      <c r="D3" s="2" t="inlineStr">
        <is>
          <t>Decision hierarchy</t>
        </is>
      </c>
      <c r="F3" s="17" t="n"/>
      <c r="G3" s="18" t="n"/>
    </row>
    <row r="4">
      <c r="A4" s="4" t="inlineStr">
        <is>
          <t>Projected XI points</t>
        </is>
      </c>
      <c r="B4" s="5">
        <f>TEAM!B22</f>
        <v/>
      </c>
      <c r="D4" s="2" t="inlineStr">
        <is>
          <t>1. Minutes first: a 6.5 xP player who may not start is often worse than a 5.8 xP secure starter.</t>
        </is>
      </c>
    </row>
    <row r="5">
      <c r="A5" s="4" t="inlineStr">
        <is>
          <t>Projected captain points</t>
        </is>
      </c>
      <c r="B5" s="5">
        <f>TEAM!B23</f>
        <v/>
      </c>
      <c r="D5" s="2" t="inlineStr">
        <is>
          <t>2. Projected points second: prefer repeatable opportunity (xG/xA, role, set pieces, penalties, defensive contribution).</t>
        </is>
      </c>
    </row>
    <row r="6">
      <c r="A6" s="4" t="inlineStr">
        <is>
          <t>Top projected player</t>
        </is>
      </c>
      <c r="B6" s="5">
        <f>IFERROR(INDEX('PLAYER POOL'!A:A,MATCH(MAX('PLAYER POOL'!Y:Y),'PLAYER POOL'!Y:Y,0)),)</f>
        <v/>
      </c>
      <c r="D6" s="2" t="inlineStr">
        <is>
          <t>3. Fixtures third: use fixture difficulty as a multiplier, not as the entire decision.</t>
        </is>
      </c>
    </row>
    <row r="7">
      <c r="A7" s="4" t="inlineStr">
        <is>
          <t>Top xP/£m</t>
        </is>
      </c>
      <c r="B7" s="5">
        <f>IFERROR(MAX('PLAYER POOL'!Z:Z),0)</f>
        <v/>
      </c>
      <c r="D7" s="2" t="inlineStr">
        <is>
          <t>4. Price/value fourth: xP per £m matters most when choosing among similar expected outputs.</t>
        </is>
      </c>
    </row>
    <row r="8">
      <c r="A8" s="4" t="inlineStr">
        <is>
          <t>Highest minutes risk</t>
        </is>
      </c>
      <c r="B8" s="5">
        <f>IFERROR(MAX('PLAYER POOL'!AA:AA),0)</f>
        <v/>
      </c>
      <c r="D8" s="2" t="inlineStr">
        <is>
          <t>5. Transfers fifth: compare net gain after −4 costs and consider the next 3–6 Gameweeks.</t>
        </is>
      </c>
    </row>
    <row r="9">
      <c r="D9" s="2" t="inlineStr">
        <is>
          <t>6. Captaincy: favour high minutes + high attacking involvement + strong fixture; captaincy is a ceiling decision, not merely a value decision.</t>
        </is>
      </c>
    </row>
    <row r="10">
      <c r="F10" s="17" t="n"/>
      <c r="G10" s="18" t="n"/>
    </row>
    <row r="11">
      <c r="A11" s="2" t="inlineStr">
        <is>
          <t>Top 10 by Decision Score</t>
        </is>
      </c>
      <c r="F11" s="17" t="n"/>
      <c r="G11" s="18" t="n"/>
    </row>
    <row r="12">
      <c r="A12" s="19" t="inlineStr">
        <is>
          <t>Rank</t>
        </is>
      </c>
      <c r="B12" s="19" t="inlineStr">
        <is>
          <t>Player</t>
        </is>
      </c>
      <c r="C12" s="19" t="inlineStr">
        <is>
          <t>Club</t>
        </is>
      </c>
      <c r="D12" s="19" t="inlineStr">
        <is>
          <t>Pos</t>
        </is>
      </c>
      <c r="E12" s="19" t="inlineStr">
        <is>
          <t>xP</t>
        </is>
      </c>
      <c r="F12" s="20" t="inlineStr">
        <is>
          <t>xP/£m</t>
        </is>
      </c>
      <c r="G12" s="21" t="inlineStr">
        <is>
          <t>Minutes risk</t>
        </is>
      </c>
      <c r="H12" s="19" t="inlineStr">
        <is>
          <t>Decision Score</t>
        </is>
      </c>
      <c r="I12" s="19" t="inlineStr">
        <is>
          <t>Captain Score</t>
        </is>
      </c>
    </row>
    <row r="13">
      <c r="A13" s="5" t="n">
        <v>1</v>
      </c>
      <c r="B13" s="5">
        <f>IFERROR(INDEX('PLAYER POOL'!A:A,MATCH(LARGE('PLAYER POOL'!AB:AB,1),'PLAYER POOL'!AB:AB,0)),"")</f>
        <v/>
      </c>
      <c r="C13" s="5">
        <f>IFERROR(XLOOKUP(B13,'PLAYER POOL'!A:A,'PLAYER POOL'!B:B),"")</f>
        <v/>
      </c>
      <c r="D13" s="5">
        <f>IFERROR(XLOOKUP(B13,'PLAYER POOL'!A:A,'PLAYER POOL'!C:C),"")</f>
        <v/>
      </c>
      <c r="E13" s="5">
        <f>IFERROR(XLOOKUP(B13,'PLAYER POOL'!A:A,'PLAYER POOL'!Y:Y),0)</f>
        <v/>
      </c>
      <c r="F13" s="13">
        <f>IFERROR(XLOOKUP(B13,'PLAYER POOL'!A:A,'PLAYER POOL'!Z:Z),0)</f>
        <v/>
      </c>
      <c r="G13" s="15">
        <f>IFERROR(XLOOKUP(B13,'PLAYER POOL'!A:A,'PLAYER POOL'!AA:AA),0)</f>
        <v/>
      </c>
      <c r="H13" s="5">
        <f>IFERROR(XLOOKUP(B13,'PLAYER POOL'!A:A,'PLAYER POOL'!AB:AB),0)</f>
        <v/>
      </c>
      <c r="I13" s="5">
        <f>IFERROR(XLOOKUP(B13,'PLAYER POOL'!A:A,'PLAYER POOL'!AC:AC),0)</f>
        <v/>
      </c>
    </row>
    <row r="14">
      <c r="A14" s="5" t="n">
        <v>2</v>
      </c>
      <c r="B14" s="5">
        <f>IFERROR(INDEX('PLAYER POOL'!A:A,MATCH(LARGE('PLAYER POOL'!AB:AB,2),'PLAYER POOL'!AB:AB,0)),"")</f>
        <v/>
      </c>
      <c r="C14" s="5">
        <f>IFERROR(XLOOKUP(B14,'PLAYER POOL'!A:A,'PLAYER POOL'!B:B),"")</f>
        <v/>
      </c>
      <c r="D14" s="5">
        <f>IFERROR(XLOOKUP(B14,'PLAYER POOL'!A:A,'PLAYER POOL'!C:C),"")</f>
        <v/>
      </c>
      <c r="E14" s="5">
        <f>IFERROR(XLOOKUP(B14,'PLAYER POOL'!A:A,'PLAYER POOL'!Y:Y),0)</f>
        <v/>
      </c>
      <c r="F14" s="13">
        <f>IFERROR(XLOOKUP(B14,'PLAYER POOL'!A:A,'PLAYER POOL'!Z:Z),0)</f>
        <v/>
      </c>
      <c r="G14" s="15">
        <f>IFERROR(XLOOKUP(B14,'PLAYER POOL'!A:A,'PLAYER POOL'!AA:AA),0)</f>
        <v/>
      </c>
      <c r="H14" s="5">
        <f>IFERROR(XLOOKUP(B14,'PLAYER POOL'!A:A,'PLAYER POOL'!AB:AB),0)</f>
        <v/>
      </c>
      <c r="I14" s="5">
        <f>IFERROR(XLOOKUP(B14,'PLAYER POOL'!A:A,'PLAYER POOL'!AC:AC),0)</f>
        <v/>
      </c>
    </row>
    <row r="15">
      <c r="A15" s="5" t="n">
        <v>3</v>
      </c>
      <c r="B15" s="5">
        <f>IFERROR(INDEX('PLAYER POOL'!A:A,MATCH(LARGE('PLAYER POOL'!AB:AB,3),'PLAYER POOL'!AB:AB,0)),"")</f>
        <v/>
      </c>
      <c r="C15" s="5">
        <f>IFERROR(XLOOKUP(B15,'PLAYER POOL'!A:A,'PLAYER POOL'!B:B),"")</f>
        <v/>
      </c>
      <c r="D15" s="5">
        <f>IFERROR(XLOOKUP(B15,'PLAYER POOL'!A:A,'PLAYER POOL'!C:C),"")</f>
        <v/>
      </c>
      <c r="E15" s="5">
        <f>IFERROR(XLOOKUP(B15,'PLAYER POOL'!A:A,'PLAYER POOL'!Y:Y),0)</f>
        <v/>
      </c>
      <c r="F15" s="13">
        <f>IFERROR(XLOOKUP(B15,'PLAYER POOL'!A:A,'PLAYER POOL'!Z:Z),0)</f>
        <v/>
      </c>
      <c r="G15" s="15">
        <f>IFERROR(XLOOKUP(B15,'PLAYER POOL'!A:A,'PLAYER POOL'!AA:AA),0)</f>
        <v/>
      </c>
      <c r="H15" s="5">
        <f>IFERROR(XLOOKUP(B15,'PLAYER POOL'!A:A,'PLAYER POOL'!AB:AB),0)</f>
        <v/>
      </c>
      <c r="I15" s="5">
        <f>IFERROR(XLOOKUP(B15,'PLAYER POOL'!A:A,'PLAYER POOL'!AC:AC),0)</f>
        <v/>
      </c>
    </row>
    <row r="16">
      <c r="A16" s="5" t="n">
        <v>4</v>
      </c>
      <c r="B16" s="5">
        <f>IFERROR(INDEX('PLAYER POOL'!A:A,MATCH(LARGE('PLAYER POOL'!AB:AB,4),'PLAYER POOL'!AB:AB,0)),"")</f>
        <v/>
      </c>
      <c r="C16" s="5">
        <f>IFERROR(XLOOKUP(B16,'PLAYER POOL'!A:A,'PLAYER POOL'!B:B),"")</f>
        <v/>
      </c>
      <c r="D16" s="5">
        <f>IFERROR(XLOOKUP(B16,'PLAYER POOL'!A:A,'PLAYER POOL'!C:C),"")</f>
        <v/>
      </c>
      <c r="E16" s="5">
        <f>IFERROR(XLOOKUP(B16,'PLAYER POOL'!A:A,'PLAYER POOL'!Y:Y),0)</f>
        <v/>
      </c>
      <c r="F16" s="13">
        <f>IFERROR(XLOOKUP(B16,'PLAYER POOL'!A:A,'PLAYER POOL'!Z:Z),0)</f>
        <v/>
      </c>
      <c r="G16" s="15">
        <f>IFERROR(XLOOKUP(B16,'PLAYER POOL'!A:A,'PLAYER POOL'!AA:AA),0)</f>
        <v/>
      </c>
      <c r="H16" s="5">
        <f>IFERROR(XLOOKUP(B16,'PLAYER POOL'!A:A,'PLAYER POOL'!AB:AB),0)</f>
        <v/>
      </c>
      <c r="I16" s="5">
        <f>IFERROR(XLOOKUP(B16,'PLAYER POOL'!A:A,'PLAYER POOL'!AC:AC),0)</f>
        <v/>
      </c>
    </row>
    <row r="17">
      <c r="A17" s="5" t="n">
        <v>5</v>
      </c>
      <c r="B17" s="5">
        <f>IFERROR(INDEX('PLAYER POOL'!A:A,MATCH(LARGE('PLAYER POOL'!AB:AB,5),'PLAYER POOL'!AB:AB,0)),"")</f>
        <v/>
      </c>
      <c r="C17" s="5">
        <f>IFERROR(XLOOKUP(B17,'PLAYER POOL'!A:A,'PLAYER POOL'!B:B),"")</f>
        <v/>
      </c>
      <c r="D17" s="5">
        <f>IFERROR(XLOOKUP(B17,'PLAYER POOL'!A:A,'PLAYER POOL'!C:C),"")</f>
        <v/>
      </c>
      <c r="E17" s="5">
        <f>IFERROR(XLOOKUP(B17,'PLAYER POOL'!A:A,'PLAYER POOL'!Y:Y),0)</f>
        <v/>
      </c>
      <c r="F17" s="13">
        <f>IFERROR(XLOOKUP(B17,'PLAYER POOL'!A:A,'PLAYER POOL'!Z:Z),0)</f>
        <v/>
      </c>
      <c r="G17" s="15">
        <f>IFERROR(XLOOKUP(B17,'PLAYER POOL'!A:A,'PLAYER POOL'!AA:AA),0)</f>
        <v/>
      </c>
      <c r="H17" s="5">
        <f>IFERROR(XLOOKUP(B17,'PLAYER POOL'!A:A,'PLAYER POOL'!AB:AB),0)</f>
        <v/>
      </c>
      <c r="I17" s="5">
        <f>IFERROR(XLOOKUP(B17,'PLAYER POOL'!A:A,'PLAYER POOL'!AC:AC),0)</f>
        <v/>
      </c>
    </row>
    <row r="18">
      <c r="A18" s="5" t="n">
        <v>6</v>
      </c>
      <c r="B18" s="5">
        <f>IFERROR(INDEX('PLAYER POOL'!A:A,MATCH(LARGE('PLAYER POOL'!AB:AB,6),'PLAYER POOL'!AB:AB,0)),"")</f>
        <v/>
      </c>
      <c r="C18" s="5">
        <f>IFERROR(XLOOKUP(B18,'PLAYER POOL'!A:A,'PLAYER POOL'!B:B),"")</f>
        <v/>
      </c>
      <c r="D18" s="5">
        <f>IFERROR(XLOOKUP(B18,'PLAYER POOL'!A:A,'PLAYER POOL'!C:C),"")</f>
        <v/>
      </c>
      <c r="E18" s="5">
        <f>IFERROR(XLOOKUP(B18,'PLAYER POOL'!A:A,'PLAYER POOL'!Y:Y),0)</f>
        <v/>
      </c>
      <c r="F18" s="13">
        <f>IFERROR(XLOOKUP(B18,'PLAYER POOL'!A:A,'PLAYER POOL'!Z:Z),0)</f>
        <v/>
      </c>
      <c r="G18" s="15">
        <f>IFERROR(XLOOKUP(B18,'PLAYER POOL'!A:A,'PLAYER POOL'!AA:AA),0)</f>
        <v/>
      </c>
      <c r="H18" s="5">
        <f>IFERROR(XLOOKUP(B18,'PLAYER POOL'!A:A,'PLAYER POOL'!AB:AB),0)</f>
        <v/>
      </c>
      <c r="I18" s="5">
        <f>IFERROR(XLOOKUP(B18,'PLAYER POOL'!A:A,'PLAYER POOL'!AC:AC),0)</f>
        <v/>
      </c>
    </row>
    <row r="19">
      <c r="A19" s="5" t="n">
        <v>7</v>
      </c>
      <c r="B19" s="5">
        <f>IFERROR(INDEX('PLAYER POOL'!A:A,MATCH(LARGE('PLAYER POOL'!AB:AB,7),'PLAYER POOL'!AB:AB,0)),"")</f>
        <v/>
      </c>
      <c r="C19" s="5">
        <f>IFERROR(XLOOKUP(B19,'PLAYER POOL'!A:A,'PLAYER POOL'!B:B),"")</f>
        <v/>
      </c>
      <c r="D19" s="5">
        <f>IFERROR(XLOOKUP(B19,'PLAYER POOL'!A:A,'PLAYER POOL'!C:C),"")</f>
        <v/>
      </c>
      <c r="E19" s="5">
        <f>IFERROR(XLOOKUP(B19,'PLAYER POOL'!A:A,'PLAYER POOL'!Y:Y),0)</f>
        <v/>
      </c>
      <c r="F19" s="13">
        <f>IFERROR(XLOOKUP(B19,'PLAYER POOL'!A:A,'PLAYER POOL'!Z:Z),0)</f>
        <v/>
      </c>
      <c r="G19" s="15">
        <f>IFERROR(XLOOKUP(B19,'PLAYER POOL'!A:A,'PLAYER POOL'!AA:AA),0)</f>
        <v/>
      </c>
      <c r="H19" s="5">
        <f>IFERROR(XLOOKUP(B19,'PLAYER POOL'!A:A,'PLAYER POOL'!AB:AB),0)</f>
        <v/>
      </c>
      <c r="I19" s="5">
        <f>IFERROR(XLOOKUP(B19,'PLAYER POOL'!A:A,'PLAYER POOL'!AC:AC),0)</f>
        <v/>
      </c>
    </row>
    <row r="20">
      <c r="A20" s="5" t="n">
        <v>8</v>
      </c>
      <c r="B20" s="5">
        <f>IFERROR(INDEX('PLAYER POOL'!A:A,MATCH(LARGE('PLAYER POOL'!AB:AB,8),'PLAYER POOL'!AB:AB,0)),"")</f>
        <v/>
      </c>
      <c r="C20" s="5">
        <f>IFERROR(XLOOKUP(B20,'PLAYER POOL'!A:A,'PLAYER POOL'!B:B),"")</f>
        <v/>
      </c>
      <c r="D20" s="5">
        <f>IFERROR(XLOOKUP(B20,'PLAYER POOL'!A:A,'PLAYER POOL'!C:C),"")</f>
        <v/>
      </c>
      <c r="E20" s="5">
        <f>IFERROR(XLOOKUP(B20,'PLAYER POOL'!A:A,'PLAYER POOL'!Y:Y),0)</f>
        <v/>
      </c>
      <c r="F20" s="13">
        <f>IFERROR(XLOOKUP(B20,'PLAYER POOL'!A:A,'PLAYER POOL'!Z:Z),0)</f>
        <v/>
      </c>
      <c r="G20" s="15">
        <f>IFERROR(XLOOKUP(B20,'PLAYER POOL'!A:A,'PLAYER POOL'!AA:AA),0)</f>
        <v/>
      </c>
      <c r="H20" s="5">
        <f>IFERROR(XLOOKUP(B20,'PLAYER POOL'!A:A,'PLAYER POOL'!AB:AB),0)</f>
        <v/>
      </c>
      <c r="I20" s="5">
        <f>IFERROR(XLOOKUP(B20,'PLAYER POOL'!A:A,'PLAYER POOL'!AC:AC),0)</f>
        <v/>
      </c>
    </row>
    <row r="21">
      <c r="A21" s="5" t="n">
        <v>9</v>
      </c>
      <c r="B21" s="5">
        <f>IFERROR(INDEX('PLAYER POOL'!A:A,MATCH(LARGE('PLAYER POOL'!AB:AB,9),'PLAYER POOL'!AB:AB,0)),"")</f>
        <v/>
      </c>
      <c r="C21" s="5">
        <f>IFERROR(XLOOKUP(B21,'PLAYER POOL'!A:A,'PLAYER POOL'!B:B),"")</f>
        <v/>
      </c>
      <c r="D21" s="5">
        <f>IFERROR(XLOOKUP(B21,'PLAYER POOL'!A:A,'PLAYER POOL'!C:C),"")</f>
        <v/>
      </c>
      <c r="E21" s="5">
        <f>IFERROR(XLOOKUP(B21,'PLAYER POOL'!A:A,'PLAYER POOL'!Y:Y),0)</f>
        <v/>
      </c>
      <c r="F21" s="13">
        <f>IFERROR(XLOOKUP(B21,'PLAYER POOL'!A:A,'PLAYER POOL'!Z:Z),0)</f>
        <v/>
      </c>
      <c r="G21" s="15">
        <f>IFERROR(XLOOKUP(B21,'PLAYER POOL'!A:A,'PLAYER POOL'!AA:AA),0)</f>
        <v/>
      </c>
      <c r="H21" s="5">
        <f>IFERROR(XLOOKUP(B21,'PLAYER POOL'!A:A,'PLAYER POOL'!AB:AB),0)</f>
        <v/>
      </c>
      <c r="I21" s="5">
        <f>IFERROR(XLOOKUP(B21,'PLAYER POOL'!A:A,'PLAYER POOL'!AC:AC),0)</f>
        <v/>
      </c>
    </row>
    <row r="22">
      <c r="A22" s="5" t="n">
        <v>10</v>
      </c>
      <c r="B22" s="5">
        <f>IFERROR(INDEX('PLAYER POOL'!A:A,MATCH(LARGE('PLAYER POOL'!AB:AB,10),'PLAYER POOL'!AB:AB,0)),"")</f>
        <v/>
      </c>
      <c r="C22" s="5">
        <f>IFERROR(XLOOKUP(B22,'PLAYER POOL'!A:A,'PLAYER POOL'!B:B),"")</f>
        <v/>
      </c>
      <c r="D22" s="5">
        <f>IFERROR(XLOOKUP(B22,'PLAYER POOL'!A:A,'PLAYER POOL'!C:C),"")</f>
        <v/>
      </c>
      <c r="E22" s="5">
        <f>IFERROR(XLOOKUP(B22,'PLAYER POOL'!A:A,'PLAYER POOL'!Y:Y),0)</f>
        <v/>
      </c>
      <c r="F22" s="13">
        <f>IFERROR(XLOOKUP(B22,'PLAYER POOL'!A:A,'PLAYER POOL'!Z:Z),0)</f>
        <v/>
      </c>
      <c r="G22" s="15">
        <f>IFERROR(XLOOKUP(B22,'PLAYER POOL'!A:A,'PLAYER POOL'!AA:AA),0)</f>
        <v/>
      </c>
      <c r="H22" s="5">
        <f>IFERROR(XLOOKUP(B22,'PLAYER POOL'!A:A,'PLAYER POOL'!AB:AB),0)</f>
        <v/>
      </c>
      <c r="I22" s="5">
        <f>IFERROR(XLOOKUP(B22,'PLAYER POOL'!A:A,'PLAYER POOL'!AC:AC),0)</f>
        <v/>
      </c>
    </row>
    <row r="25">
      <c r="A25" s="3" t="inlineStr">
        <is>
          <t>Advanced workflow</t>
        </is>
      </c>
    </row>
    <row r="26">
      <c r="A26" s="2" t="inlineStr">
        <is>
          <t>1. WEEKLY INPUT: paste/update one row per player. Yellow cells are the only recurring inputs.</t>
        </is>
      </c>
    </row>
    <row r="27">
      <c r="A27" s="2" t="inlineStr">
        <is>
          <t>2. PLAYER MODEL: inspect projected minutes, 1GW xP and 6/8GW xP. Challenge minutes first.</t>
        </is>
      </c>
    </row>
    <row r="28">
      <c r="A28" s="2" t="inlineStr">
        <is>
          <t>3. 8GW PROJECTIONS: use for structural moves and medium-term planning.</t>
        </is>
      </c>
    </row>
    <row r="29">
      <c r="A29" s="2" t="inlineStr">
        <is>
          <t>4. TRANSFER EV: enter OUT/IN and number of transfers. A hit is automatically costed at 4 points.</t>
        </is>
      </c>
    </row>
    <row r="30">
      <c r="A30" s="2" t="inlineStr">
        <is>
          <t>5. CAPTAINCY: use the probability board, then override for late team news when justified.</t>
        </is>
      </c>
    </row>
    <row r="31">
      <c r="A31" s="2" t="inlineStr">
        <is>
          <t>6. CHIP PLANNER: score future weeks for blanks/doubles, fixture swings and squad readiness.</t>
        </is>
      </c>
    </row>
    <row r="32">
      <c r="A32" s="2" t="inlineStr">
        <is>
          <t>7. WEEKLY REVIEW: record actual vs projected points and diagnose repeated model errors.</t>
        </is>
      </c>
    </row>
  </sheetData>
  <mergeCells count="15">
    <mergeCell ref="D7:H7"/>
    <mergeCell ref="A26:H26"/>
    <mergeCell ref="D8:H8"/>
    <mergeCell ref="D6:H6"/>
    <mergeCell ref="A29:H29"/>
    <mergeCell ref="A30:H30"/>
    <mergeCell ref="A25:H25"/>
    <mergeCell ref="A28:H28"/>
    <mergeCell ref="D5:H5"/>
    <mergeCell ref="A1:H1"/>
    <mergeCell ref="D4:H4"/>
    <mergeCell ref="A32:H32"/>
    <mergeCell ref="A27:H27"/>
    <mergeCell ref="A31:H31"/>
    <mergeCell ref="D9:H9"/>
  </mergeCells>
  <conditionalFormatting sqref="H13:H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9" t="inlineStr">
        <is>
          <t>Statistic / Formula</t>
        </is>
      </c>
      <c r="B1" s="19" t="inlineStr">
        <is>
          <t>What it means</t>
        </is>
      </c>
      <c r="C1" s="19" t="inlineStr">
        <is>
          <t>Why it matters</t>
        </is>
      </c>
      <c r="D1" s="19" t="inlineStr">
        <is>
          <t>How to update</t>
        </is>
      </c>
      <c r="E1" s="19" t="inlineStr">
        <is>
          <t>Interpretation / caution</t>
        </is>
      </c>
    </row>
    <row r="2">
      <c r="A2" s="5" t="inlineStr">
        <is>
          <t>xG</t>
        </is>
      </c>
      <c r="B2" s="5" t="inlineStr">
        <is>
          <t>Expected goals based on shot quality/position/context.</t>
        </is>
      </c>
      <c r="C2" s="5" t="inlineStr">
        <is>
          <t>More predictive of future goals than raw goals over short samples.</t>
        </is>
      </c>
      <c r="D2" s="5" t="inlineStr">
        <is>
          <t>Update from your chosen reliable data source after each GW.</t>
        </is>
      </c>
      <c r="E2" s="5" t="inlineStr">
        <is>
          <t>Use alongside minutes and role; xG is not a guarantee.</t>
        </is>
      </c>
    </row>
    <row r="3">
      <c r="A3" s="5" t="inlineStr">
        <is>
          <t>xA</t>
        </is>
      </c>
      <c r="B3" s="5" t="inlineStr">
        <is>
          <t>Expected assists generated by chance creation.</t>
        </is>
      </c>
      <c r="C3" s="5" t="inlineStr">
        <is>
          <t>Captures assist potential even when teammates fail to finish.</t>
        </is>
      </c>
      <c r="D3" s="5" t="inlineStr">
        <is>
          <t>Update after each GW.</t>
        </is>
      </c>
      <c r="E3" s="5" t="inlineStr">
        <is>
          <t>Different providers model xA differently; stay consistent.</t>
        </is>
      </c>
    </row>
    <row r="4">
      <c r="A4" s="5" t="inlineStr">
        <is>
          <t>xGI</t>
        </is>
      </c>
      <c r="B4" s="5" t="inlineStr">
        <is>
          <t>xG + xA.</t>
        </is>
      </c>
      <c r="C4" s="5" t="inlineStr">
        <is>
          <t>Single attacking involvement measure.</t>
        </is>
      </c>
      <c r="D4" s="5" t="inlineStr">
        <is>
          <t>Formula in Player Pool: xG/90 + xA/90.</t>
        </is>
      </c>
      <c r="E4" s="5" t="inlineStr">
        <is>
          <t>Useful for comparing attacking involvement, not defensive value.</t>
        </is>
      </c>
    </row>
    <row r="5">
      <c r="A5" s="5" t="inlineStr">
        <is>
          <t>xG/90</t>
        </is>
      </c>
      <c r="B5" s="5" t="inlineStr">
        <is>
          <t>Expected goals per 90 minutes.</t>
        </is>
      </c>
      <c r="C5" s="5" t="inlineStr">
        <is>
          <t>Separates opportunity from playing time.</t>
        </is>
      </c>
      <c r="D5" s="5" t="inlineStr">
        <is>
          <t>Formula: xG ÷ minutes × 90.</t>
        </is>
      </c>
      <c r="E5" s="5" t="inlineStr">
        <is>
          <t>Small samples can be noisy.</t>
        </is>
      </c>
    </row>
    <row r="6">
      <c r="A6" s="5" t="inlineStr">
        <is>
          <t>xA/90</t>
        </is>
      </c>
      <c r="B6" s="5" t="inlineStr">
        <is>
          <t>Expected assists per 90 minutes.</t>
        </is>
      </c>
      <c r="C6" s="5" t="inlineStr">
        <is>
          <t>Measures creative output independent of total minutes.</t>
        </is>
      </c>
      <c r="D6" s="5" t="inlineStr">
        <is>
          <t>Formula: xA ÷ minutes × 90.</t>
        </is>
      </c>
      <c r="E6" s="5" t="inlineStr">
        <is>
          <t>Role and set pieces can change quickly.</t>
        </is>
      </c>
    </row>
    <row r="7">
      <c r="A7" s="5" t="inlineStr">
        <is>
          <t>Projected minutes</t>
        </is>
      </c>
      <c r="B7" s="5" t="inlineStr">
        <is>
          <t>Expected minutes next GW.</t>
        </is>
      </c>
      <c r="C7" s="5" t="inlineStr">
        <is>
          <t>Minutes are the foundation of every points projection.</t>
        </is>
      </c>
      <c r="D7" s="5" t="inlineStr">
        <is>
          <t>Estimate using starts, injury/news, manager comments, rotation and schedule congestion.</t>
        </is>
      </c>
      <c r="E7" s="5" t="inlineStr">
        <is>
          <t>Do not blindly use last-6 minutes.</t>
        </is>
      </c>
    </row>
    <row r="8">
      <c r="A8" s="5" t="inlineStr">
        <is>
          <t>Start probability</t>
        </is>
      </c>
      <c r="B8" s="5" t="inlineStr">
        <is>
          <t>Chance player starts.</t>
        </is>
      </c>
      <c r="C8" s="5" t="inlineStr">
        <is>
          <t>A 20–30 minute cameo is materially different from a 90-minute starter.</t>
        </is>
      </c>
      <c r="D8" s="5" t="inlineStr">
        <is>
          <t>Enter your estimate from team news and role.</t>
        </is>
      </c>
      <c r="E8" s="5" t="inlineStr">
        <is>
          <t>Make this conservative.</t>
        </is>
      </c>
    </row>
    <row r="9">
      <c r="A9" s="5" t="inlineStr">
        <is>
          <t>Fixture difficulty 1–5</t>
        </is>
      </c>
      <c r="B9" s="5" t="inlineStr">
        <is>
          <t>Your opponent-strength rating for the next fixture.</t>
        </is>
      </c>
      <c r="C9" s="5" t="inlineStr">
        <is>
          <t>Adjusts projections for match difficulty.</t>
        </is>
      </c>
      <c r="D9" s="5" t="inlineStr">
        <is>
          <t>1 = very favourable, 5 = very difficult.</t>
        </is>
      </c>
      <c r="E9" s="5" t="inlineStr">
        <is>
          <t>Keep the scale consistent rather than chasing tiny differences.</t>
        </is>
      </c>
    </row>
    <row r="10">
      <c r="A10" s="5" t="inlineStr">
        <is>
          <t>Fixture multiplier</t>
        </is>
      </c>
      <c r="B10" s="5" t="inlineStr">
        <is>
          <t>Simple adjustment from fixture difficulty.</t>
        </is>
      </c>
      <c r="C10" s="5" t="inlineStr">
        <is>
          <t>Prevents fixtures from dominating the model while still mattering.</t>
        </is>
      </c>
      <c r="D10" s="5" t="inlineStr">
        <is>
          <t>Formula: 1 + (3 − difficulty) × 0.10.</t>
        </is>
      </c>
      <c r="E10" s="5" t="inlineStr">
        <is>
          <t>This is a transparent heuristic, not an official FPL calculation.</t>
        </is>
      </c>
    </row>
    <row r="11">
      <c r="A11" s="5" t="inlineStr">
        <is>
          <t>Underlying xP</t>
        </is>
      </c>
      <c r="B11" s="5" t="inlineStr">
        <is>
          <t>Projected points before fixture adjustment.</t>
        </is>
      </c>
      <c r="C11" s="5" t="inlineStr">
        <is>
          <t>Combines appearance, attacking, defensive and form signals.</t>
        </is>
      </c>
      <c r="D11" s="5" t="inlineStr">
        <is>
          <t>Formula is in Player Pool column X.</t>
        </is>
      </c>
      <c r="E11" s="5" t="inlineStr">
        <is>
          <t>Use as a ranking input, not as a promised score.</t>
        </is>
      </c>
    </row>
    <row r="12">
      <c r="A12" s="5" t="inlineStr">
        <is>
          <t>Fixture-adjusted xP</t>
        </is>
      </c>
      <c r="B12" s="5" t="inlineStr">
        <is>
          <t>Underlying xP × fixture multiplier × minutes factor.</t>
        </is>
      </c>
      <c r="C12" s="5" t="inlineStr">
        <is>
          <t>Your main one-GW projection.</t>
        </is>
      </c>
      <c r="D12" s="5" t="inlineStr">
        <is>
          <t>Formula is in Player Pool column Y.</t>
        </is>
      </c>
      <c r="E12" s="5" t="inlineStr">
        <is>
          <t>Better for decisions than raw points-per-game.</t>
        </is>
      </c>
    </row>
    <row r="13">
      <c r="A13" s="5" t="inlineStr">
        <is>
          <t>xP/£m</t>
        </is>
      </c>
      <c r="B13" s="5" t="inlineStr">
        <is>
          <t>Projected points per £1m.</t>
        </is>
      </c>
      <c r="C13" s="5" t="inlineStr">
        <is>
          <t>Measures capital efficiency.</t>
        </is>
      </c>
      <c r="D13" s="5" t="inlineStr">
        <is>
          <t>Formula: fixture-adjusted xP ÷ price.</t>
        </is>
      </c>
      <c r="E13" s="5" t="inlineStr">
        <is>
          <t>Use to compare players at similar positions/roles.</t>
        </is>
      </c>
    </row>
    <row r="14">
      <c r="A14" s="5" t="inlineStr">
        <is>
          <t>Minutes risk</t>
        </is>
      </c>
      <c r="B14" s="5" t="inlineStr">
        <is>
          <t>1 − projected minutes/90.</t>
        </is>
      </c>
      <c r="C14" s="5" t="inlineStr">
        <is>
          <t>Penalty for rotation/injury/uncertain starts.</t>
        </is>
      </c>
      <c r="D14" s="5" t="inlineStr">
        <is>
          <t>Formula is in Player Pool column AA.</t>
        </is>
      </c>
      <c r="E14" s="5" t="inlineStr">
        <is>
          <t>High risk should make you demand a larger projected upside.</t>
        </is>
      </c>
    </row>
    <row r="15">
      <c r="A15" s="5" t="inlineStr">
        <is>
          <t>Decision Score</t>
        </is>
      </c>
      <c r="B15" s="5" t="inlineStr">
        <is>
          <t>xP adjusted for form, value and minutes risk.</t>
        </is>
      </c>
      <c r="C15" s="5" t="inlineStr">
        <is>
          <t>Turns multiple signals into one sortable ranking.</t>
        </is>
      </c>
      <c r="D15" s="5" t="inlineStr">
        <is>
          <t>Formula is in Player Pool column AB.</t>
        </is>
      </c>
      <c r="E15" s="5" t="inlineStr">
        <is>
          <t>Use as a shortlist tool, not an automatic transfer trigger.</t>
        </is>
      </c>
    </row>
    <row r="16">
      <c r="A16" s="5" t="inlineStr">
        <is>
          <t>Captain Score</t>
        </is>
      </c>
      <c r="B16" s="5" t="inlineStr">
        <is>
          <t>Attacking ceiling × fixture × minutes.</t>
        </is>
      </c>
      <c r="C16" s="5" t="inlineStr">
        <is>
          <t>Separates premium captain candidates from value picks.</t>
        </is>
      </c>
      <c r="D16" s="5" t="inlineStr">
        <is>
          <t>Formula is in Player Pool column AC.</t>
        </is>
      </c>
      <c r="E16" s="5" t="inlineStr">
        <is>
          <t>Captaincy should be reassessed with team news.</t>
        </is>
      </c>
    </row>
    <row r="17">
      <c r="A17" s="5" t="inlineStr">
        <is>
          <t>Transfer gain</t>
        </is>
      </c>
      <c r="B17" s="5" t="inlineStr">
        <is>
          <t>IN xP − OUT xP.</t>
        </is>
      </c>
      <c r="C17" s="5" t="inlineStr">
        <is>
          <t>Immediate expected gain from a move.</t>
        </is>
      </c>
      <c r="D17" s="5" t="inlineStr">
        <is>
          <t>Transfers sheet.</t>
        </is>
      </c>
      <c r="E17" s="5" t="inlineStr">
        <is>
          <t>Always subtract hit cost and consider future fixtures.</t>
        </is>
      </c>
    </row>
    <row r="18">
      <c r="A18" s="5" t="inlineStr">
        <is>
          <t>Net gain</t>
        </is>
      </c>
      <c r="B18" s="5" t="inlineStr">
        <is>
          <t>Transfer gain − transfer cost.</t>
        </is>
      </c>
      <c r="C18" s="5" t="inlineStr">
        <is>
          <t>Expected value after a points hit.</t>
        </is>
      </c>
      <c r="D18" s="5" t="inlineStr">
        <is>
          <t>Transfers sheet.</t>
        </is>
      </c>
      <c r="E18" s="5" t="inlineStr">
        <is>
          <t>For a free transfer, cost is 0; for an extra transfer, use 4.</t>
        </is>
      </c>
    </row>
    <row r="19">
      <c r="A19" s="5" t="inlineStr">
        <is>
          <t>Variance</t>
        </is>
      </c>
      <c r="B19" s="5" t="inlineStr">
        <is>
          <t>Actual points − projected contribution.</t>
        </is>
      </c>
      <c r="C19" s="5" t="inlineStr">
        <is>
          <t>Shows where your model was wrong or merely unlucky.</t>
        </is>
      </c>
      <c r="D19" s="5" t="inlineStr">
        <is>
          <t>GW Planner.</t>
        </is>
      </c>
      <c r="E19" s="5" t="inlineStr">
        <is>
          <t>Do not overreact to one GW; look for repeated bias.</t>
        </is>
      </c>
    </row>
    <row r="20">
      <c r="A20" s="2" t="inlineStr">
        <is>
          <t>8GW xP</t>
        </is>
      </c>
      <c r="B20" s="2" t="inlineStr">
        <is>
          <t>Sum of fixture-adjusted expected points across the next eight Gameweeks, with a small time-distance decay.</t>
        </is>
      </c>
      <c r="C20" s="2" t="inlineStr">
        <is>
          <t>Prevents a one-week fixture from dominating a medium-term transfer.</t>
        </is>
      </c>
      <c r="D20" s="2" t="inlineStr">
        <is>
          <t>Update weekly.</t>
        </is>
      </c>
      <c r="E20" s="2" t="inlineStr">
        <is>
          <t>Use for structural moves; team news can still invalidate it.</t>
        </is>
      </c>
    </row>
    <row r="21">
      <c r="A21" s="2" t="inlineStr">
        <is>
          <t>6GW xP</t>
        </is>
      </c>
      <c r="B21" s="2" t="inlineStr">
        <is>
          <t>Sum of the first six projected Gameweeks.</t>
        </is>
      </c>
      <c r="C21" s="2" t="inlineStr">
        <is>
          <t>Useful for transfer decisions because it balances near-term opportunity with planning horizon.</t>
        </is>
      </c>
      <c r="D21" s="2" t="inlineStr">
        <is>
          <t>Calculated automatically.</t>
        </is>
      </c>
      <c r="E21" s="2" t="inlineStr">
        <is>
          <t>Short enough to be actionable; long enough to reduce noise.</t>
        </is>
      </c>
    </row>
    <row r="22">
      <c r="A22" s="2" t="inlineStr">
        <is>
          <t>Transfer EV</t>
        </is>
      </c>
      <c r="B22" s="2" t="inlineStr">
        <is>
          <t>IN player's horizon xP − OUT player's horizon xP − transfer hit.</t>
        </is>
      </c>
      <c r="C22" s="2" t="inlineStr">
        <is>
          <t>Answers whether a transfer is expected to add points after cost.</t>
        </is>
      </c>
      <c r="D22" s="2" t="inlineStr">
        <is>
          <t>Enter players and transfer count.</t>
        </is>
      </c>
      <c r="E22" s="2" t="inlineStr">
        <is>
          <t>A positive EV is not automatically a good move if it creates future problems.</t>
        </is>
      </c>
    </row>
    <row r="23">
      <c r="A23" s="2" t="inlineStr">
        <is>
          <t>Captain probability</t>
        </is>
      </c>
      <c r="B23" s="2" t="inlineStr">
        <is>
          <t>Captain Score divided by the sum of eligible captain scores.</t>
        </is>
      </c>
      <c r="C23" s="2" t="inlineStr">
        <is>
          <t>Creates a relative probability-like allocation across candidates.</t>
        </is>
      </c>
      <c r="D23" s="2" t="inlineStr">
        <is>
          <t>Calculated automatically.</t>
        </is>
      </c>
      <c r="E23" s="2" t="inlineStr">
        <is>
          <t>Not a literal probability forecast; use as a ranking/discipline tool.</t>
        </is>
      </c>
    </row>
    <row r="24">
      <c r="A24" s="2" t="inlineStr">
        <is>
          <t>Fixture-adjusted xP</t>
        </is>
      </c>
      <c r="B24" s="2" t="inlineStr">
        <is>
          <t>Base xP × fixture multiplier × minutes factor × role/news factor × horizon decay.</t>
        </is>
      </c>
      <c r="C24" s="2" t="inlineStr">
        <is>
          <t>Balances player quality, fixture, availability and planning horizon.</t>
        </is>
      </c>
      <c r="D24" s="2" t="inlineStr">
        <is>
          <t>Calculated automatically.</t>
        </is>
      </c>
      <c r="E24" s="2" t="inlineStr">
        <is>
          <t>Fixture multiplier is intentionally conservative.</t>
        </is>
      </c>
    </row>
    <row r="25">
      <c r="A25" s="2" t="inlineStr">
        <is>
          <t>Minutes factor</t>
        </is>
      </c>
      <c r="B25" s="2" t="inlineStr">
        <is>
          <t>Blend of recent minutes and start probability, bounded to reduce extreme values.</t>
        </is>
      </c>
      <c r="C25" s="2" t="inlineStr">
        <is>
          <t>Stops a high-upside rotation risk from automatically dominating.</t>
        </is>
      </c>
      <c r="D25" s="2" t="inlineStr">
        <is>
          <t>Update projected minutes/start probability.</t>
        </is>
      </c>
      <c r="E25" s="2" t="inlineStr">
        <is>
          <t>This is one of the most important manual judgements.</t>
        </is>
      </c>
    </row>
    <row r="26">
      <c r="A26" s="2" t="inlineStr">
        <is>
          <t>Model calibration</t>
        </is>
      </c>
      <c r="B26" s="2" t="inlineStr">
        <is>
          <t>Actual points − projected points.</t>
        </is>
      </c>
      <c r="C26" s="2" t="inlineStr">
        <is>
          <t>Shows systematic bias in the model.</t>
        </is>
      </c>
      <c r="D26" s="2" t="inlineStr">
        <is>
          <t>Record each GW.</t>
        </is>
      </c>
      <c r="E26" s="2" t="inlineStr">
        <is>
          <t>Look for repeated bias by position/club/player type rather than isolated variance.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42" customWidth="1" min="3" max="3"/>
    <col width="42" customWidth="1" min="4" max="4"/>
    <col width="10" customWidth="1" min="5" max="5"/>
  </cols>
  <sheetData>
    <row r="1">
      <c r="A1" s="6" t="inlineStr">
        <is>
          <t>Timing</t>
        </is>
      </c>
      <c r="B1" s="6" t="inlineStr">
        <is>
          <t>Task</t>
        </is>
      </c>
      <c r="C1" s="6" t="inlineStr">
        <is>
          <t>What to look at</t>
        </is>
      </c>
      <c r="D1" s="6" t="inlineStr">
        <is>
          <t>Action threshold</t>
        </is>
      </c>
      <c r="E1" s="6" t="inlineStr">
        <is>
          <t>Done?</t>
        </is>
      </c>
    </row>
    <row r="2">
      <c r="A2" s="5" t="inlineStr">
        <is>
          <t>Immediately after GW</t>
        </is>
      </c>
      <c r="B2" s="5" t="inlineStr">
        <is>
          <t>Review actuals</t>
        </is>
      </c>
      <c r="C2" s="5" t="inlineStr">
        <is>
          <t>Variance, minutes, role changes, injuries, penalties/set pieces</t>
        </is>
      </c>
      <c r="D2" s="5" t="inlineStr">
        <is>
          <t>Flag repeated model misses; do not chase one-off points.</t>
        </is>
      </c>
      <c r="E2" s="5" t="inlineStr"/>
    </row>
    <row r="3">
      <c r="A3" s="5" t="inlineStr">
        <is>
          <t>Monday–Tuesday</t>
        </is>
      </c>
      <c r="B3" s="5" t="inlineStr">
        <is>
          <t>Update data</t>
        </is>
      </c>
      <c r="C3" s="5" t="inlineStr">
        <is>
          <t>Minutes, starts, xG, xA, defensive contributions, price</t>
        </is>
      </c>
      <c r="D3" s="5" t="inlineStr">
        <is>
          <t>Refresh Player Pool inputs.</t>
        </is>
      </c>
      <c r="E3" s="5" t="inlineStr"/>
    </row>
    <row r="4">
      <c r="A4" s="5" t="inlineStr">
        <is>
          <t>Midweek</t>
        </is>
      </c>
      <c r="B4" s="5" t="inlineStr">
        <is>
          <t>Scan fixtures</t>
        </is>
      </c>
      <c r="C4" s="5" t="inlineStr">
        <is>
          <t>Next 6–8 GW difficulty and blanks/doubles</t>
        </is>
      </c>
      <c r="D4" s="5" t="inlineStr">
        <is>
          <t>Identify structural fixture swings, not one-match noise.</t>
        </is>
      </c>
      <c r="E4" s="5" t="inlineStr"/>
    </row>
    <row r="5">
      <c r="A5" s="5" t="inlineStr">
        <is>
          <t>Before deadline</t>
        </is>
      </c>
      <c r="B5" s="5" t="inlineStr">
        <is>
          <t>Team news</t>
        </is>
      </c>
      <c r="C5" s="5" t="inlineStr">
        <is>
          <t>Press conferences, injuries, rotation, likely XI</t>
        </is>
      </c>
      <c r="D5" s="5" t="inlineStr">
        <is>
          <t>Update projected minutes/start probability.</t>
        </is>
      </c>
      <c r="E5" s="5" t="inlineStr"/>
    </row>
    <row r="6">
      <c r="A6" s="5" t="inlineStr">
        <is>
          <t>Before deadline</t>
        </is>
      </c>
      <c r="B6" s="5" t="inlineStr">
        <is>
          <t>Compare transfers</t>
        </is>
      </c>
      <c r="C6" s="5" t="inlineStr">
        <is>
          <t>Net gain, xP/£m, future fixtures, transfer cost</t>
        </is>
      </c>
      <c r="D6" s="5" t="inlineStr">
        <is>
          <t>Usually demand a meaningful edge for a hit.</t>
        </is>
      </c>
      <c r="E6" s="5" t="inlineStr"/>
    </row>
    <row r="7">
      <c r="A7" s="5" t="inlineStr">
        <is>
          <t>Before deadline</t>
        </is>
      </c>
      <c r="B7" s="5" t="inlineStr">
        <is>
          <t>Captaincy</t>
        </is>
      </c>
      <c r="C7" s="5" t="inlineStr">
        <is>
          <t>Captain Score, projected minutes, fixture</t>
        </is>
      </c>
      <c r="D7" s="5" t="inlineStr">
        <is>
          <t>Choose the highest-confidence ceiling option; verify news.</t>
        </is>
      </c>
      <c r="E7" s="5" t="inlineStr"/>
    </row>
    <row r="8">
      <c r="A8" s="5" t="inlineStr">
        <is>
          <t>Before deadline</t>
        </is>
      </c>
      <c r="B8" s="5" t="inlineStr">
        <is>
          <t>Bench order</t>
        </is>
      </c>
      <c r="C8" s="5" t="inlineStr">
        <is>
          <t>Expected minutes and xP</t>
        </is>
      </c>
      <c r="D8" s="5" t="inlineStr">
        <is>
          <t>Bench safest likely starter first; auto-sub rules matter.</t>
        </is>
      </c>
      <c r="E8" s="5" t="inlineStr"/>
    </row>
    <row r="9">
      <c r="A9" s="5" t="inlineStr">
        <is>
          <t>After deadline</t>
        </is>
      </c>
      <c r="B9" s="5" t="inlineStr">
        <is>
          <t>Record decision</t>
        </is>
      </c>
      <c r="C9" s="5" t="inlineStr">
        <is>
          <t>Transfers, chip, captain, reasoning</t>
        </is>
      </c>
      <c r="D9" s="5" t="inlineStr">
        <is>
          <t>Make review useful: record why you acted, not just what happened.</t>
        </is>
      </c>
      <c r="E9" s="5" t="inlineStr"/>
    </row>
  </sheetData>
  <dataValidations count="1">
    <dataValidation sqref="E2:E1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19" t="inlineStr">
        <is>
          <t>Source / topic</t>
        </is>
      </c>
      <c r="B1" s="19" t="inlineStr">
        <is>
          <t>Use in workbook</t>
        </is>
      </c>
      <c r="C1" s="19" t="inlineStr">
        <is>
          <t>Notes</t>
        </is>
      </c>
    </row>
    <row r="2">
      <c r="A2" s="2" t="inlineStr">
        <is>
          <t>Official FPL rules</t>
        </is>
      </c>
      <c r="B2" s="2" t="inlineStr">
        <is>
          <t>Squad structure, transfers, chips, deadlines, scoring</t>
        </is>
      </c>
      <c r="C2" s="2" t="inlineStr">
        <is>
          <t>Use the current FPL rules page as the authority if rules change during the season.</t>
        </is>
      </c>
    </row>
    <row r="3">
      <c r="A3" s="2" t="inlineStr">
        <is>
          <t>Official FPL 2026/27 changes</t>
        </is>
      </c>
      <c r="B3" s="2" t="inlineStr">
        <is>
          <t>Current-season chip structure, Price Change Predictor, BPS changes</t>
        </is>
      </c>
      <c r="C3" s="2" t="inlineStr">
        <is>
          <t>2026/27 has two sets of Wildcard, Free Hit, Triple Captain and Bench Boost.</t>
        </is>
      </c>
    </row>
    <row r="4">
      <c r="A4" s="2" t="inlineStr">
        <is>
          <t>FPL glossary</t>
        </is>
      </c>
      <c r="B4" s="2" t="inlineStr">
        <is>
          <t>Terminology such as xGI and asset</t>
        </is>
      </c>
      <c r="C4" s="2" t="inlineStr">
        <is>
          <t>Definitions can change; use the current official glossary.</t>
        </is>
      </c>
    </row>
    <row r="5">
      <c r="A5" s="2" t="inlineStr">
        <is>
          <t>Your chosen data provider</t>
        </is>
      </c>
      <c r="B5" s="2" t="inlineStr">
        <is>
          <t>xG, xA, minutes, shots, big chances, key passes</t>
        </is>
      </c>
      <c r="C5" s="2" t="inlineStr">
        <is>
          <t>Consistency matters more than mixing providers.</t>
        </is>
      </c>
    </row>
    <row r="8">
      <c r="A8" s="2" t="inlineStr">
        <is>
          <t>Model warning</t>
        </is>
      </c>
      <c r="B8" s="2" t="inlineStr">
        <is>
          <t>The xP model here is intentionally transparent rather than a black-box recreation of an elite manager's private model. Top managers generally combine minutes/role, underlying data, fixtures, price/value, team news and opportunity cost.</t>
        </is>
      </c>
    </row>
    <row r="10">
      <c r="A10" s="2" t="inlineStr">
        <is>
          <t>Current-season official rule source</t>
        </is>
      </c>
      <c r="B10" s="2" t="inlineStr">
        <is>
          <t>Premier League 2026/27 changes: https://www.premierleague.com/en/news/4679873</t>
        </is>
      </c>
    </row>
    <row r="11">
      <c r="A11" s="2" t="inlineStr">
        <is>
          <t>Current-season chip source</t>
        </is>
      </c>
      <c r="B11" s="2" t="inlineStr">
        <is>
          <t>Premier League 2026/27 chip guidance: https://www.premierleague.com/en/news/4679879</t>
        </is>
      </c>
    </row>
    <row r="12">
      <c r="A12" s="2" t="inlineStr">
        <is>
          <t>Official fixture source</t>
        </is>
      </c>
      <c r="B12" s="2" t="inlineStr">
        <is>
          <t>Official FPL fixtures/FDR: https://fantasy.premierleague.com/en/fixtures/fdr</t>
        </is>
      </c>
    </row>
    <row r="13">
      <c r="A13" s="2" t="inlineStr">
        <is>
          <t>Recommended advanced source</t>
        </is>
      </c>
      <c r="B13" s="2" t="inlineStr">
        <is>
          <t>Understat: xG/xA and shot-quality cross-check. Use consistently; do not mix provider definitions without noting the difference.</t>
        </is>
      </c>
    </row>
  </sheetData>
  <mergeCells count="5">
    <mergeCell ref="B13:C13"/>
    <mergeCell ref="B11:C11"/>
    <mergeCell ref="B10:C10"/>
    <mergeCell ref="B8:C8"/>
    <mergeCell ref="B12:C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5" customWidth="1" min="14" max="14"/>
    <col width="16" customWidth="1" min="15" max="15"/>
    <col width="20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8" customWidth="1" min="26" max="26"/>
  </cols>
  <sheetData>
    <row r="1">
      <c r="A1" s="27" t="inlineStr">
        <is>
          <t>Weekly Data Entry — enter only the yellow cells</t>
        </is>
      </c>
    </row>
    <row r="3">
      <c r="A3" s="2" t="inlineStr">
        <is>
          <t>How this works</t>
        </is>
      </c>
      <c r="B3" s="2" t="inlineStr">
        <is>
          <t>Enter/update each player's rolling 6-GW inputs once per week. The workbook calculates per-90 rates, minutes confidence, fixture-adjusted xP and 8-GW projections automatically. Keep the same data-provider methodology throughout the season.</t>
        </is>
      </c>
    </row>
    <row r="5">
      <c r="A5" s="19" t="inlineStr">
        <is>
          <t>Player</t>
        </is>
      </c>
      <c r="B5" s="19" t="inlineStr">
        <is>
          <t>Club</t>
        </is>
      </c>
      <c r="C5" s="19" t="inlineStr">
        <is>
          <t>Pos</t>
        </is>
      </c>
      <c r="D5" s="19" t="inlineStr">
        <is>
          <t>Price £m</t>
        </is>
      </c>
      <c r="E5" s="19" t="inlineStr">
        <is>
          <t>Own %</t>
        </is>
      </c>
      <c r="F5" s="19" t="inlineStr">
        <is>
          <t>Minutes L6</t>
        </is>
      </c>
      <c r="G5" s="19" t="inlineStr">
        <is>
          <t>Starts L6</t>
        </is>
      </c>
      <c r="H5" s="19" t="inlineStr">
        <is>
          <t>xG L6</t>
        </is>
      </c>
      <c r="I5" s="19" t="inlineStr">
        <is>
          <t>xA L6</t>
        </is>
      </c>
      <c r="J5" s="19" t="inlineStr">
        <is>
          <t>Goals L6</t>
        </is>
      </c>
      <c r="K5" s="19" t="inlineStr">
        <is>
          <t>Assists L6</t>
        </is>
      </c>
      <c r="L5" s="19" t="inlineStr">
        <is>
          <t>Shots L6</t>
        </is>
      </c>
      <c r="M5" s="19" t="inlineStr">
        <is>
          <t>Big Chances L6</t>
        </is>
      </c>
      <c r="N5" s="19" t="inlineStr">
        <is>
          <t>Key Passes L6</t>
        </is>
      </c>
      <c r="O5" s="19" t="inlineStr">
        <is>
          <t>Def Contrib L6</t>
        </is>
      </c>
      <c r="P5" s="19" t="inlineStr">
        <is>
          <t>Projected Min GW+1</t>
        </is>
      </c>
      <c r="Q5" s="19" t="inlineStr">
        <is>
          <t>Start Prob % GW+1</t>
        </is>
      </c>
      <c r="R5" s="19" t="inlineStr">
        <is>
          <t>Fixture Diff GW+1</t>
        </is>
      </c>
      <c r="S5" s="19" t="inlineStr">
        <is>
          <t>Fixture Diff GW+2</t>
        </is>
      </c>
      <c r="T5" s="19" t="inlineStr">
        <is>
          <t>Fixture Diff GW+3</t>
        </is>
      </c>
      <c r="U5" s="19" t="inlineStr">
        <is>
          <t>Fixture Diff GW+4</t>
        </is>
      </c>
      <c r="V5" s="19" t="inlineStr">
        <is>
          <t>Fixture Diff GW+5</t>
        </is>
      </c>
      <c r="W5" s="19" t="inlineStr">
        <is>
          <t>Fixture Diff GW+6</t>
        </is>
      </c>
      <c r="X5" s="19" t="inlineStr">
        <is>
          <t>Fixture Diff GW+7</t>
        </is>
      </c>
      <c r="Y5" s="19" t="inlineStr">
        <is>
          <t>Fixture Diff GW+8</t>
        </is>
      </c>
      <c r="Z5" s="19" t="inlineStr">
        <is>
          <t>News / role note</t>
        </is>
      </c>
    </row>
    <row r="6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</row>
    <row r="7">
      <c r="A7" s="26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</row>
    <row r="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</row>
    <row r="9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</row>
    <row r="10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</row>
    <row r="13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</row>
    <row r="14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</row>
    <row r="15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</row>
    <row r="16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</row>
    <row r="17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</row>
    <row r="18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</row>
    <row r="24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</row>
    <row r="30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</row>
    <row r="3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</row>
    <row r="32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</row>
    <row r="3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</row>
    <row r="34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</row>
    <row r="35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</row>
    <row r="36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</row>
    <row r="37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</row>
    <row r="38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</row>
    <row r="39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</row>
    <row r="40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</row>
    <row r="41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</row>
    <row r="42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</row>
    <row r="4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</row>
    <row r="47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</row>
    <row r="48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</row>
    <row r="49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</row>
    <row r="5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</row>
    <row r="5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</row>
    <row r="52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</row>
    <row r="5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</row>
    <row r="54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</row>
    <row r="55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U55" s="26" t="n"/>
      <c r="V55" s="26" t="n"/>
      <c r="W55" s="26" t="n"/>
      <c r="X55" s="26" t="n"/>
      <c r="Y55" s="26" t="n"/>
      <c r="Z55" s="26" t="n"/>
    </row>
    <row r="56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</row>
    <row r="57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</row>
    <row r="58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</row>
    <row r="59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n"/>
      <c r="U59" s="26" t="n"/>
      <c r="V59" s="26" t="n"/>
      <c r="W59" s="26" t="n"/>
      <c r="X59" s="26" t="n"/>
      <c r="Y59" s="26" t="n"/>
      <c r="Z59" s="26" t="n"/>
    </row>
    <row r="6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</row>
    <row r="6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</row>
    <row r="62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</row>
    <row r="6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</row>
    <row r="64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</row>
    <row r="65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</row>
    <row r="66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</row>
    <row r="67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</row>
    <row r="68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  <c r="T68" s="26" t="n"/>
      <c r="U68" s="26" t="n"/>
      <c r="V68" s="26" t="n"/>
      <c r="W68" s="26" t="n"/>
      <c r="X68" s="26" t="n"/>
      <c r="Y68" s="26" t="n"/>
      <c r="Z68" s="26" t="n"/>
    </row>
    <row r="69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  <c r="T69" s="26" t="n"/>
      <c r="U69" s="26" t="n"/>
      <c r="V69" s="26" t="n"/>
      <c r="W69" s="26" t="n"/>
      <c r="X69" s="26" t="n"/>
      <c r="Y69" s="26" t="n"/>
      <c r="Z69" s="26" t="n"/>
    </row>
    <row r="7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</row>
    <row r="7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</row>
    <row r="72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</row>
    <row r="7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</row>
    <row r="74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</row>
    <row r="75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</row>
    <row r="76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</row>
    <row r="77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</row>
    <row r="78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</row>
    <row r="79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</row>
    <row r="80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</row>
    <row r="8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</row>
    <row r="82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</row>
    <row r="8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</row>
    <row r="84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</row>
    <row r="85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</row>
    <row r="86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</row>
    <row r="87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</row>
    <row r="88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</row>
    <row r="89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</row>
    <row r="90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</row>
    <row r="9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</row>
    <row r="92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</row>
    <row r="9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</row>
    <row r="94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</row>
    <row r="95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</row>
    <row r="96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  <c r="T96" s="26" t="n"/>
      <c r="U96" s="26" t="n"/>
      <c r="V96" s="26" t="n"/>
      <c r="W96" s="26" t="n"/>
      <c r="X96" s="26" t="n"/>
      <c r="Y96" s="26" t="n"/>
      <c r="Z96" s="26" t="n"/>
    </row>
    <row r="97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  <c r="T97" s="26" t="n"/>
      <c r="U97" s="26" t="n"/>
      <c r="V97" s="26" t="n"/>
      <c r="W97" s="26" t="n"/>
      <c r="X97" s="26" t="n"/>
      <c r="Y97" s="26" t="n"/>
      <c r="Z97" s="26" t="n"/>
    </row>
    <row r="98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</row>
    <row r="99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  <c r="T99" s="26" t="n"/>
      <c r="U99" s="26" t="n"/>
      <c r="V99" s="26" t="n"/>
      <c r="W99" s="26" t="n"/>
      <c r="X99" s="26" t="n"/>
      <c r="Y99" s="26" t="n"/>
      <c r="Z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  <c r="T100" s="26" t="n"/>
      <c r="U100" s="26" t="n"/>
      <c r="V100" s="26" t="n"/>
      <c r="W100" s="26" t="n"/>
      <c r="X100" s="26" t="n"/>
      <c r="Y100" s="26" t="n"/>
      <c r="Z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n"/>
      <c r="U101" s="26" t="n"/>
      <c r="V101" s="26" t="n"/>
      <c r="W101" s="26" t="n"/>
      <c r="X101" s="26" t="n"/>
      <c r="Y101" s="26" t="n"/>
      <c r="Z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  <c r="T103" s="26" t="n"/>
      <c r="U103" s="26" t="n"/>
      <c r="V103" s="26" t="n"/>
      <c r="W103" s="26" t="n"/>
      <c r="X103" s="26" t="n"/>
      <c r="Y103" s="26" t="n"/>
      <c r="Z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n"/>
      <c r="U107" s="26" t="n"/>
      <c r="V107" s="26" t="n"/>
      <c r="W107" s="26" t="n"/>
      <c r="X107" s="26" t="n"/>
      <c r="Y107" s="26" t="n"/>
      <c r="Z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  <c r="T109" s="26" t="n"/>
      <c r="U109" s="26" t="n"/>
      <c r="V109" s="26" t="n"/>
      <c r="W109" s="26" t="n"/>
      <c r="X109" s="26" t="n"/>
      <c r="Y109" s="26" t="n"/>
      <c r="Z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  <c r="T111" s="26" t="n"/>
      <c r="U111" s="26" t="n"/>
      <c r="V111" s="26" t="n"/>
      <c r="W111" s="26" t="n"/>
      <c r="X111" s="26" t="n"/>
      <c r="Y111" s="26" t="n"/>
      <c r="Z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  <c r="T112" s="26" t="n"/>
      <c r="U112" s="26" t="n"/>
      <c r="V112" s="26" t="n"/>
      <c r="W112" s="26" t="n"/>
      <c r="X112" s="26" t="n"/>
      <c r="Y112" s="26" t="n"/>
      <c r="Z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6" t="n"/>
      <c r="X114" s="26" t="n"/>
      <c r="Y114" s="26" t="n"/>
      <c r="Z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  <c r="T116" s="26" t="n"/>
      <c r="U116" s="26" t="n"/>
      <c r="V116" s="26" t="n"/>
      <c r="W116" s="26" t="n"/>
      <c r="X116" s="26" t="n"/>
      <c r="Y116" s="26" t="n"/>
      <c r="Z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  <c r="T117" s="26" t="n"/>
      <c r="U117" s="26" t="n"/>
      <c r="V117" s="26" t="n"/>
      <c r="W117" s="26" t="n"/>
      <c r="X117" s="26" t="n"/>
      <c r="Y117" s="26" t="n"/>
      <c r="Z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n"/>
      <c r="U122" s="26" t="n"/>
      <c r="V122" s="26" t="n"/>
      <c r="W122" s="26" t="n"/>
      <c r="X122" s="26" t="n"/>
      <c r="Y122" s="26" t="n"/>
      <c r="Z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  <c r="T123" s="26" t="n"/>
      <c r="U123" s="26" t="n"/>
      <c r="V123" s="26" t="n"/>
      <c r="W123" s="26" t="n"/>
      <c r="X123" s="26" t="n"/>
      <c r="Y123" s="26" t="n"/>
      <c r="Z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  <c r="T124" s="26" t="n"/>
      <c r="U124" s="26" t="n"/>
      <c r="V124" s="26" t="n"/>
      <c r="W124" s="26" t="n"/>
      <c r="X124" s="26" t="n"/>
      <c r="Y124" s="26" t="n"/>
      <c r="Z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  <c r="T133" s="26" t="n"/>
      <c r="U133" s="26" t="n"/>
      <c r="V133" s="26" t="n"/>
      <c r="W133" s="26" t="n"/>
      <c r="X133" s="26" t="n"/>
      <c r="Y133" s="26" t="n"/>
      <c r="Z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  <c r="T134" s="26" t="n"/>
      <c r="U134" s="26" t="n"/>
      <c r="V134" s="26" t="n"/>
      <c r="W134" s="26" t="n"/>
      <c r="X134" s="26" t="n"/>
      <c r="Y134" s="26" t="n"/>
      <c r="Z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  <c r="T142" s="26" t="n"/>
      <c r="U142" s="26" t="n"/>
      <c r="V142" s="26" t="n"/>
      <c r="W142" s="26" t="n"/>
      <c r="X142" s="26" t="n"/>
      <c r="Y142" s="26" t="n"/>
      <c r="Z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n"/>
      <c r="U144" s="26" t="n"/>
      <c r="V144" s="26" t="n"/>
      <c r="W144" s="26" t="n"/>
      <c r="X144" s="26" t="n"/>
      <c r="Y144" s="26" t="n"/>
      <c r="Z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  <c r="T145" s="26" t="n"/>
      <c r="U145" s="26" t="n"/>
      <c r="V145" s="26" t="n"/>
      <c r="W145" s="26" t="n"/>
      <c r="X145" s="26" t="n"/>
      <c r="Y145" s="26" t="n"/>
      <c r="Z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  <c r="T147" s="26" t="n"/>
      <c r="U147" s="26" t="n"/>
      <c r="V147" s="26" t="n"/>
      <c r="W147" s="26" t="n"/>
      <c r="X147" s="26" t="n"/>
      <c r="Y147" s="26" t="n"/>
      <c r="Z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  <c r="T150" s="26" t="n"/>
      <c r="U150" s="26" t="n"/>
      <c r="V150" s="26" t="n"/>
      <c r="W150" s="26" t="n"/>
      <c r="X150" s="26" t="n"/>
      <c r="Y150" s="26" t="n"/>
      <c r="Z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6" t="n"/>
      <c r="V152" s="26" t="n"/>
      <c r="W152" s="26" t="n"/>
      <c r="X152" s="26" t="n"/>
      <c r="Y152" s="26" t="n"/>
      <c r="Z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  <c r="T153" s="26" t="n"/>
      <c r="U153" s="26" t="n"/>
      <c r="V153" s="26" t="n"/>
      <c r="W153" s="26" t="n"/>
      <c r="X153" s="26" t="n"/>
      <c r="Y153" s="26" t="n"/>
      <c r="Z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  <c r="T154" s="26" t="n"/>
      <c r="U154" s="26" t="n"/>
      <c r="V154" s="26" t="n"/>
      <c r="W154" s="26" t="n"/>
      <c r="X154" s="26" t="n"/>
      <c r="Y154" s="26" t="n"/>
      <c r="Z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  <c r="T156" s="26" t="n"/>
      <c r="U156" s="26" t="n"/>
      <c r="V156" s="26" t="n"/>
      <c r="W156" s="26" t="n"/>
      <c r="X156" s="26" t="n"/>
      <c r="Y156" s="26" t="n"/>
      <c r="Z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n"/>
      <c r="U164" s="26" t="n"/>
      <c r="V164" s="26" t="n"/>
      <c r="W164" s="26" t="n"/>
      <c r="X164" s="26" t="n"/>
      <c r="Y164" s="26" t="n"/>
      <c r="Z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  <c r="T166" s="26" t="n"/>
      <c r="U166" s="26" t="n"/>
      <c r="V166" s="26" t="n"/>
      <c r="W166" s="26" t="n"/>
      <c r="X166" s="26" t="n"/>
      <c r="Y166" s="26" t="n"/>
      <c r="Z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6" t="n"/>
      <c r="V167" s="26" t="n"/>
      <c r="W167" s="26" t="n"/>
      <c r="X167" s="26" t="n"/>
      <c r="Y167" s="26" t="n"/>
      <c r="Z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n"/>
      <c r="U168" s="26" t="n"/>
      <c r="V168" s="26" t="n"/>
      <c r="W168" s="26" t="n"/>
      <c r="X168" s="26" t="n"/>
      <c r="Y168" s="26" t="n"/>
      <c r="Z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  <c r="T169" s="26" t="n"/>
      <c r="U169" s="26" t="n"/>
      <c r="V169" s="26" t="n"/>
      <c r="W169" s="26" t="n"/>
      <c r="X169" s="26" t="n"/>
      <c r="Y169" s="26" t="n"/>
      <c r="Z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  <c r="T170" s="26" t="n"/>
      <c r="U170" s="26" t="n"/>
      <c r="V170" s="26" t="n"/>
      <c r="W170" s="26" t="n"/>
      <c r="X170" s="26" t="n"/>
      <c r="Y170" s="26" t="n"/>
      <c r="Z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  <c r="T171" s="26" t="n"/>
      <c r="U171" s="26" t="n"/>
      <c r="V171" s="26" t="n"/>
      <c r="W171" s="26" t="n"/>
      <c r="X171" s="26" t="n"/>
      <c r="Y171" s="26" t="n"/>
      <c r="Z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n"/>
      <c r="U172" s="26" t="n"/>
      <c r="V172" s="26" t="n"/>
      <c r="W172" s="26" t="n"/>
      <c r="X172" s="26" t="n"/>
      <c r="Y172" s="26" t="n"/>
      <c r="Z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n"/>
      <c r="U173" s="26" t="n"/>
      <c r="V173" s="26" t="n"/>
      <c r="W173" s="26" t="n"/>
      <c r="X173" s="26" t="n"/>
      <c r="Y173" s="26" t="n"/>
      <c r="Z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  <c r="T174" s="26" t="n"/>
      <c r="U174" s="26" t="n"/>
      <c r="V174" s="26" t="n"/>
      <c r="W174" s="26" t="n"/>
      <c r="X174" s="26" t="n"/>
      <c r="Y174" s="26" t="n"/>
      <c r="Z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  <c r="T175" s="26" t="n"/>
      <c r="U175" s="26" t="n"/>
      <c r="V175" s="26" t="n"/>
      <c r="W175" s="26" t="n"/>
      <c r="X175" s="26" t="n"/>
      <c r="Y175" s="26" t="n"/>
      <c r="Z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n"/>
      <c r="U176" s="26" t="n"/>
      <c r="V176" s="26" t="n"/>
      <c r="W176" s="26" t="n"/>
      <c r="X176" s="26" t="n"/>
      <c r="Y176" s="26" t="n"/>
      <c r="Z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  <c r="T177" s="26" t="n"/>
      <c r="U177" s="26" t="n"/>
      <c r="V177" s="26" t="n"/>
      <c r="W177" s="26" t="n"/>
      <c r="X177" s="26" t="n"/>
      <c r="Y177" s="26" t="n"/>
      <c r="Z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  <c r="Y178" s="26" t="n"/>
      <c r="Z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  <c r="T179" s="26" t="n"/>
      <c r="U179" s="26" t="n"/>
      <c r="V179" s="26" t="n"/>
      <c r="W179" s="26" t="n"/>
      <c r="X179" s="26" t="n"/>
      <c r="Y179" s="26" t="n"/>
      <c r="Z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  <c r="T180" s="26" t="n"/>
      <c r="U180" s="26" t="n"/>
      <c r="V180" s="26" t="n"/>
      <c r="W180" s="26" t="n"/>
      <c r="X180" s="26" t="n"/>
      <c r="Y180" s="26" t="n"/>
      <c r="Z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  <c r="T181" s="26" t="n"/>
      <c r="U181" s="26" t="n"/>
      <c r="V181" s="26" t="n"/>
      <c r="W181" s="26" t="n"/>
      <c r="X181" s="26" t="n"/>
      <c r="Y181" s="26" t="n"/>
      <c r="Z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n"/>
      <c r="U182" s="26" t="n"/>
      <c r="V182" s="26" t="n"/>
      <c r="W182" s="26" t="n"/>
      <c r="X182" s="26" t="n"/>
      <c r="Y182" s="26" t="n"/>
      <c r="Z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n"/>
      <c r="U183" s="26" t="n"/>
      <c r="V183" s="26" t="n"/>
      <c r="W183" s="26" t="n"/>
      <c r="X183" s="26" t="n"/>
      <c r="Y183" s="26" t="n"/>
      <c r="Z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n"/>
      <c r="U184" s="26" t="n"/>
      <c r="V184" s="26" t="n"/>
      <c r="W184" s="26" t="n"/>
      <c r="X184" s="26" t="n"/>
      <c r="Y184" s="26" t="n"/>
      <c r="Z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  <c r="T185" s="26" t="n"/>
      <c r="U185" s="26" t="n"/>
      <c r="V185" s="26" t="n"/>
      <c r="W185" s="26" t="n"/>
      <c r="X185" s="26" t="n"/>
      <c r="Y185" s="26" t="n"/>
      <c r="Z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  <c r="T186" s="26" t="n"/>
      <c r="U186" s="26" t="n"/>
      <c r="V186" s="26" t="n"/>
      <c r="W186" s="26" t="n"/>
      <c r="X186" s="26" t="n"/>
      <c r="Y186" s="26" t="n"/>
      <c r="Z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  <c r="T187" s="26" t="n"/>
      <c r="U187" s="26" t="n"/>
      <c r="V187" s="26" t="n"/>
      <c r="W187" s="26" t="n"/>
      <c r="X187" s="26" t="n"/>
      <c r="Y187" s="26" t="n"/>
      <c r="Z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  <c r="T188" s="26" t="n"/>
      <c r="U188" s="26" t="n"/>
      <c r="V188" s="26" t="n"/>
      <c r="W188" s="26" t="n"/>
      <c r="X188" s="26" t="n"/>
      <c r="Y188" s="26" t="n"/>
      <c r="Z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n"/>
      <c r="U189" s="26" t="n"/>
      <c r="V189" s="26" t="n"/>
      <c r="W189" s="26" t="n"/>
      <c r="X189" s="26" t="n"/>
      <c r="Y189" s="26" t="n"/>
      <c r="Z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  <c r="T190" s="26" t="n"/>
      <c r="U190" s="26" t="n"/>
      <c r="V190" s="26" t="n"/>
      <c r="W190" s="26" t="n"/>
      <c r="X190" s="26" t="n"/>
      <c r="Y190" s="26" t="n"/>
      <c r="Z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n"/>
      <c r="U191" s="26" t="n"/>
      <c r="V191" s="26" t="n"/>
      <c r="W191" s="26" t="n"/>
      <c r="X191" s="26" t="n"/>
      <c r="Y191" s="26" t="n"/>
      <c r="Z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n"/>
      <c r="U192" s="26" t="n"/>
      <c r="V192" s="26" t="n"/>
      <c r="W192" s="26" t="n"/>
      <c r="X192" s="26" t="n"/>
      <c r="Y192" s="26" t="n"/>
      <c r="Z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  <c r="T193" s="26" t="n"/>
      <c r="U193" s="26" t="n"/>
      <c r="V193" s="26" t="n"/>
      <c r="W193" s="26" t="n"/>
      <c r="X193" s="26" t="n"/>
      <c r="Y193" s="26" t="n"/>
      <c r="Z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  <c r="T194" s="26" t="n"/>
      <c r="U194" s="26" t="n"/>
      <c r="V194" s="26" t="n"/>
      <c r="W194" s="26" t="n"/>
      <c r="X194" s="26" t="n"/>
      <c r="Y194" s="26" t="n"/>
      <c r="Z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  <c r="T195" s="26" t="n"/>
      <c r="U195" s="26" t="n"/>
      <c r="V195" s="26" t="n"/>
      <c r="W195" s="26" t="n"/>
      <c r="X195" s="26" t="n"/>
      <c r="Y195" s="26" t="n"/>
      <c r="Z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n"/>
      <c r="U196" s="26" t="n"/>
      <c r="V196" s="26" t="n"/>
      <c r="W196" s="26" t="n"/>
      <c r="X196" s="26" t="n"/>
      <c r="Y196" s="26" t="n"/>
      <c r="Z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  <c r="T197" s="26" t="n"/>
      <c r="U197" s="26" t="n"/>
      <c r="V197" s="26" t="n"/>
      <c r="W197" s="26" t="n"/>
      <c r="X197" s="26" t="n"/>
      <c r="Y197" s="26" t="n"/>
      <c r="Z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  <c r="T198" s="26" t="n"/>
      <c r="U198" s="26" t="n"/>
      <c r="V198" s="26" t="n"/>
      <c r="W198" s="26" t="n"/>
      <c r="X198" s="26" t="n"/>
      <c r="Y198" s="26" t="n"/>
      <c r="Z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  <c r="T199" s="26" t="n"/>
      <c r="U199" s="26" t="n"/>
      <c r="V199" s="26" t="n"/>
      <c r="W199" s="26" t="n"/>
      <c r="X199" s="26" t="n"/>
      <c r="Y199" s="26" t="n"/>
      <c r="Z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n"/>
      <c r="U200" s="26" t="n"/>
      <c r="V200" s="26" t="n"/>
      <c r="W200" s="26" t="n"/>
      <c r="X200" s="26" t="n"/>
      <c r="Y200" s="26" t="n"/>
      <c r="Z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n"/>
      <c r="U201" s="26" t="n"/>
      <c r="V201" s="26" t="n"/>
      <c r="W201" s="26" t="n"/>
      <c r="X201" s="26" t="n"/>
      <c r="Y201" s="26" t="n"/>
      <c r="Z201" s="26" t="n"/>
    </row>
    <row r="202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26" t="n"/>
      <c r="L202" s="26" t="n"/>
      <c r="M202" s="26" t="n"/>
      <c r="N202" s="26" t="n"/>
      <c r="O202" s="26" t="n"/>
      <c r="P202" s="26" t="n"/>
      <c r="Q202" s="26" t="n"/>
      <c r="R202" s="26" t="n"/>
      <c r="S202" s="26" t="n"/>
      <c r="T202" s="26" t="n"/>
      <c r="U202" s="26" t="n"/>
      <c r="V202" s="26" t="n"/>
      <c r="W202" s="26" t="n"/>
      <c r="X202" s="26" t="n"/>
      <c r="Y202" s="26" t="n"/>
      <c r="Z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26" t="n"/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n"/>
      <c r="U203" s="26" t="n"/>
      <c r="V203" s="26" t="n"/>
      <c r="W203" s="26" t="n"/>
      <c r="X203" s="26" t="n"/>
      <c r="Y203" s="26" t="n"/>
      <c r="Z203" s="26" t="n"/>
    </row>
    <row r="204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26" t="n"/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n"/>
      <c r="U204" s="26" t="n"/>
      <c r="V204" s="26" t="n"/>
      <c r="W204" s="26" t="n"/>
      <c r="X204" s="26" t="n"/>
      <c r="Y204" s="26" t="n"/>
      <c r="Z204" s="26" t="n"/>
    </row>
    <row r="205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26" t="n"/>
      <c r="L205" s="26" t="n"/>
      <c r="M205" s="26" t="n"/>
      <c r="N205" s="26" t="n"/>
      <c r="O205" s="26" t="n"/>
      <c r="P205" s="26" t="n"/>
      <c r="Q205" s="26" t="n"/>
      <c r="R205" s="26" t="n"/>
      <c r="S205" s="26" t="n"/>
      <c r="T205" s="26" t="n"/>
      <c r="U205" s="26" t="n"/>
      <c r="V205" s="26" t="n"/>
      <c r="W205" s="26" t="n"/>
      <c r="X205" s="26" t="n"/>
      <c r="Y205" s="26" t="n"/>
      <c r="Z205" s="26" t="n"/>
    </row>
    <row r="207">
      <c r="A207" s="28" t="inlineStr">
        <is>
          <t>Yellow = input. Everything else in the advanced model is calculated from these entries.</t>
        </is>
      </c>
    </row>
  </sheetData>
  <mergeCells count="2">
    <mergeCell ref="A1:Z1"/>
    <mergeCell ref="B3:Z3"/>
  </mergeCells>
  <dataValidations count="3">
    <dataValidation sqref="C6:C205" showDropDown="0" showInputMessage="0" showErrorMessage="0" allowBlank="1" type="list">
      <formula1>"GK,DEF,MID,FWD"</formula1>
    </dataValidation>
    <dataValidation sqref="Q6:Q205" showDropDown="0" showInputMessage="0" showErrorMessage="0" allowBlank="1" type="decimal" operator="between">
      <formula1>0</formula1>
      <formula2>1</formula2>
    </dataValidation>
    <dataValidation sqref="R6:Y205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34" customWidth="1" min="3" max="3"/>
    <col width="33" customWidth="1" min="4" max="4"/>
    <col width="33" customWidth="1" min="5" max="5"/>
    <col width="33" customWidth="1" min="6" max="6"/>
    <col width="33" customWidth="1" min="7" max="7"/>
    <col width="38" customWidth="1" min="8" max="8"/>
    <col width="38" customWidth="1" min="9" max="9"/>
    <col width="12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7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  <col width="38" customWidth="1" min="26" max="26"/>
    <col width="38" customWidth="1" min="27" max="27"/>
    <col width="38" customWidth="1" min="28" max="28"/>
    <col width="18" customWidth="1" min="29" max="29"/>
    <col width="17" customWidth="1" min="30" max="30"/>
    <col width="24" customWidth="1" min="31" max="31"/>
    <col width="16" customWidth="1" min="32" max="32"/>
    <col width="38" customWidth="1" min="33" max="33"/>
    <col width="38" customWidth="1" min="34" max="34"/>
    <col width="38" customWidth="1" min="35" max="35"/>
    <col width="38" customWidth="1" min="36" max="36"/>
    <col width="34" customWidth="1" min="37" max="37"/>
  </cols>
  <sheetData>
    <row r="1">
      <c r="A1" s="27" t="inlineStr">
        <is>
          <t>Advanced Player Projection Engine</t>
        </is>
      </c>
    </row>
    <row r="2">
      <c r="A2" s="29" t="inlineStr">
        <is>
          <t>Formula-driven decision support — not an official FPL prediction.</t>
        </is>
      </c>
    </row>
    <row r="3">
      <c r="A3" s="2" t="inlineStr">
        <is>
          <t>Core idea</t>
        </is>
      </c>
      <c r="B3" s="2" t="inlineStr">
        <is>
          <t>Expected points are built from expected minutes + attacking involvement + clean-sheet/defensive contribution signals, then adjusted for fixtures and rotation. The 8-GW engine discounts further-out weeks slightly.</t>
        </is>
      </c>
    </row>
    <row r="5">
      <c r="A5" s="19" t="inlineStr">
        <is>
          <t>Player</t>
        </is>
      </c>
      <c r="B5" s="19" t="inlineStr">
        <is>
          <t>Club</t>
        </is>
      </c>
      <c r="C5" s="19" t="inlineStr">
        <is>
          <t>Pos</t>
        </is>
      </c>
      <c r="D5" s="19" t="inlineStr">
        <is>
          <t>Price</t>
        </is>
      </c>
      <c r="E5" s="19" t="inlineStr">
        <is>
          <t>Own %</t>
        </is>
      </c>
      <c r="F5" s="19" t="inlineStr">
        <is>
          <t>Min L6</t>
        </is>
      </c>
      <c r="G5" s="19" t="inlineStr">
        <is>
          <t>Start %</t>
        </is>
      </c>
      <c r="H5" s="19" t="inlineStr">
        <is>
          <t>xG/90</t>
        </is>
      </c>
      <c r="I5" s="19" t="inlineStr">
        <is>
          <t>xA/90</t>
        </is>
      </c>
      <c r="J5" s="19" t="inlineStr">
        <is>
          <t>xGI/90</t>
        </is>
      </c>
      <c r="K5" s="19" t="inlineStr">
        <is>
          <t>Goals/90</t>
        </is>
      </c>
      <c r="L5" s="19" t="inlineStr">
        <is>
          <t>Assists/90</t>
        </is>
      </c>
      <c r="M5" s="19" t="inlineStr">
        <is>
          <t>Shots/90</t>
        </is>
      </c>
      <c r="N5" s="19" t="inlineStr">
        <is>
          <t>BC/90</t>
        </is>
      </c>
      <c r="O5" s="19" t="inlineStr">
        <is>
          <t>KP/90</t>
        </is>
      </c>
      <c r="P5" s="19" t="inlineStr">
        <is>
          <t>DefCon/90</t>
        </is>
      </c>
      <c r="Q5" s="19" t="inlineStr">
        <is>
          <t>Recent FPL Pts/90</t>
        </is>
      </c>
      <c r="R5" s="19" t="inlineStr">
        <is>
          <t>Minutes Factor</t>
        </is>
      </c>
      <c r="S5" s="19" t="inlineStr">
        <is>
          <t>Role/News Factor</t>
        </is>
      </c>
      <c r="T5" s="19" t="inlineStr">
        <is>
          <t>Base xP GW1</t>
        </is>
      </c>
      <c r="U5" s="19" t="inlineStr">
        <is>
          <t>Adj xP GW1</t>
        </is>
      </c>
      <c r="V5" s="19" t="inlineStr">
        <is>
          <t>Adj xP GW2</t>
        </is>
      </c>
      <c r="W5" s="19" t="inlineStr">
        <is>
          <t>Adj xP GW3</t>
        </is>
      </c>
      <c r="X5" s="19" t="inlineStr">
        <is>
          <t>Adj xP GW4</t>
        </is>
      </c>
      <c r="Y5" s="19" t="inlineStr">
        <is>
          <t>Adj xP GW5</t>
        </is>
      </c>
      <c r="Z5" s="19" t="inlineStr">
        <is>
          <t>Adj xP GW6</t>
        </is>
      </c>
      <c r="AA5" s="19" t="inlineStr">
        <is>
          <t>Adj xP GW7</t>
        </is>
      </c>
      <c r="AB5" s="19" t="inlineStr">
        <is>
          <t>Adj xP GW8</t>
        </is>
      </c>
      <c r="AC5" s="19" t="inlineStr">
        <is>
          <t>8GW xP</t>
        </is>
      </c>
      <c r="AD5" s="19" t="inlineStr">
        <is>
          <t>6GW xP</t>
        </is>
      </c>
      <c r="AE5" s="19" t="inlineStr">
        <is>
          <t>xP/£m</t>
        </is>
      </c>
      <c r="AF5" s="19" t="inlineStr">
        <is>
          <t>Minutes Risk</t>
        </is>
      </c>
      <c r="AG5" s="19" t="inlineStr">
        <is>
          <t>Captain Ceiling</t>
        </is>
      </c>
      <c r="AH5" s="19" t="inlineStr">
        <is>
          <t>Captain Prob</t>
        </is>
      </c>
      <c r="AI5" s="19" t="inlineStr">
        <is>
          <t>Decision Score</t>
        </is>
      </c>
      <c r="AJ5" s="19" t="inlineStr">
        <is>
          <t>Transfer Rank</t>
        </is>
      </c>
      <c r="AK5" s="19" t="inlineStr">
        <is>
          <t>Notes</t>
        </is>
      </c>
    </row>
    <row r="6">
      <c r="A6" s="5">
        <f>IFERROR('WEEKLY INPUT'!A6,"")</f>
        <v/>
      </c>
      <c r="B6" s="5">
        <f>IFERROR('WEEKLY INPUT'!B6,"")</f>
        <v/>
      </c>
      <c r="C6" s="5">
        <f>IFERROR('WEEKLY INPUT'!C6,"")</f>
        <v/>
      </c>
      <c r="D6" s="5">
        <f>IFERROR('WEEKLY INPUT'!D6,0)</f>
        <v/>
      </c>
      <c r="E6" s="5">
        <f>IFERROR('WEEKLY INPUT'!E6,0)</f>
        <v/>
      </c>
      <c r="F6" s="5">
        <f>IFERROR('WEEKLY INPUT'!F6,0)</f>
        <v/>
      </c>
      <c r="G6" s="5">
        <f>IFERROR('WEEKLY INPUT'!Q6,0)</f>
        <v/>
      </c>
      <c r="H6" s="5">
        <f>IFERROR('WEEKLY INPUT'!H6/'WEEKLY INPUT'!F6*90,0)</f>
        <v/>
      </c>
      <c r="I6" s="5">
        <f>IFERROR('WEEKLY INPUT'!I6/'WEEKLY INPUT'!F6*90,0)</f>
        <v/>
      </c>
      <c r="J6" s="5">
        <f>H6+I6</f>
        <v/>
      </c>
      <c r="K6" s="5">
        <f>IFERROR('WEEKLY INPUT'!J6/'WEEKLY INPUT'!F6*90,0)</f>
        <v/>
      </c>
      <c r="L6" s="5">
        <f>IFERROR('WEEKLY INPUT'!K6/'WEEKLY INPUT'!F6*90,0)</f>
        <v/>
      </c>
      <c r="M6" s="5">
        <f>IFERROR('WEEKLY INPUT'!L6/'WEEKLY INPUT'!F6*90,0)</f>
        <v/>
      </c>
      <c r="N6" s="5">
        <f>IFERROR('WEEKLY INPUT'!M6/'WEEKLY INPUT'!F6*90,0)</f>
        <v/>
      </c>
      <c r="O6" s="5">
        <f>IFERROR('WEEKLY INPUT'!N6/'WEEKLY INPUT'!F6*90,0)</f>
        <v/>
      </c>
      <c r="P6" s="5">
        <f>IFERROR('WEEKLY INPUT'!O6/'WEEKLY INPUT'!F6*90,0)</f>
        <v/>
      </c>
      <c r="Q6" s="5">
        <f>IFERROR(('WEEKLY INPUT'!J6*2+'WEEKLY INPUT'!K6*1+'WEEKLY INPUT'!O6*0.2)/'WEEKLY INPUT'!F6,0)</f>
        <v/>
      </c>
      <c r="R6" s="5">
        <f>MAX(0.25,MIN(1.15,(F6/540)*0.5+G6*0.5))</f>
        <v/>
      </c>
      <c r="S6" s="5">
        <f>MAX(0.70,MIN(1.10,0.85+0.15*G6))</f>
        <v/>
      </c>
      <c r="T6" s="5">
        <f>IF(A6="","",2*('WEEKLY INPUT'!P6/90)+(H6*5+I6*3)*('WEEKLY INPUT'!P6/90)+(P6*0.15)*('WEEKLY INPUT'!P6/90)+Q6*0.25)</f>
        <v/>
      </c>
      <c r="U6" s="5">
        <f>IF($A6="","",$T6*(1+($3-'WEEKLY INPUT'!R6)*0.10)*$R6*$S6*1.0)</f>
        <v/>
      </c>
      <c r="V6" s="5">
        <f>IF($A6="","",$T6*(1+($3-'WEEKLY INPUT'!S6)*0.10)*$R6*$S6*0.975)</f>
        <v/>
      </c>
      <c r="W6" s="5">
        <f>IF($A6="","",$T6*(1+($3-'WEEKLY INPUT'!T6)*0.10)*$R6*$S6*0.95)</f>
        <v/>
      </c>
      <c r="X6" s="5">
        <f>IF($A6="","",$T6*(1+($3-'WEEKLY INPUT'!U6)*0.10)*$R6*$S6*0.925)</f>
        <v/>
      </c>
      <c r="Y6" s="5">
        <f>IF($A6="","",$T6*(1+($3-'WEEKLY INPUT'!V6)*0.10)*$R6*$S6*0.9)</f>
        <v/>
      </c>
      <c r="Z6" s="5">
        <f>IF($A6="","",$T6*(1+($3-'WEEKLY INPUT'!W6)*0.10)*$R6*$S6*0.875)</f>
        <v/>
      </c>
      <c r="AA6" s="5">
        <f>IF($A6="","",$T6*(1+($3-'WEEKLY INPUT'!X6)*0.10)*$R6*$S6*0.85)</f>
        <v/>
      </c>
      <c r="AB6" s="5">
        <f>IF($A6="","",$T6*(1+($3-'WEEKLY INPUT'!Y6)*0.10)*$R6*$S6*0.825)</f>
        <v/>
      </c>
      <c r="AC6" s="5">
        <f>SUM(U6:AB6)</f>
        <v/>
      </c>
      <c r="AD6" s="5">
        <f>SUM(U6:Z6)</f>
        <v/>
      </c>
      <c r="AE6" s="5">
        <f>IFERROR(AD6/D6,0)</f>
        <v/>
      </c>
      <c r="AF6" s="5">
        <f>MAX(0,1-R6)</f>
        <v/>
      </c>
      <c r="AG6" s="5">
        <f>IFERROR((H6+I6)*R6*(1+0.10*(3-'WEEKLY INPUT'!R6)),"")</f>
        <v/>
      </c>
      <c r="AH6" s="5">
        <f>IFERROR(AG6/SUMPRODUCT($AG$6:$AG$205),"")</f>
        <v/>
      </c>
      <c r="AI6" s="5">
        <f>IFERROR(AD6*(1-AF6*0.5)*(1+0.15*AE6),0)</f>
        <v/>
      </c>
      <c r="AJ6" s="5">
        <f>IF(A6="","",RANK(AI6,$AI$6:$AI$205,0))</f>
        <v/>
      </c>
      <c r="AK6" s="5">
        <f>IFERROR('WEEKLY INPUT'!Z6,"")</f>
        <v/>
      </c>
    </row>
    <row r="7">
      <c r="A7" s="5">
        <f>IFERROR('WEEKLY INPUT'!A7,"")</f>
        <v/>
      </c>
      <c r="B7" s="5">
        <f>IFERROR('WEEKLY INPUT'!B7,"")</f>
        <v/>
      </c>
      <c r="C7" s="5">
        <f>IFERROR('WEEKLY INPUT'!C7,"")</f>
        <v/>
      </c>
      <c r="D7" s="5">
        <f>IFERROR('WEEKLY INPUT'!D7,0)</f>
        <v/>
      </c>
      <c r="E7" s="5">
        <f>IFERROR('WEEKLY INPUT'!E7,0)</f>
        <v/>
      </c>
      <c r="F7" s="5">
        <f>IFERROR('WEEKLY INPUT'!F7,0)</f>
        <v/>
      </c>
      <c r="G7" s="5">
        <f>IFERROR('WEEKLY INPUT'!Q7,0)</f>
        <v/>
      </c>
      <c r="H7" s="5">
        <f>IFERROR('WEEKLY INPUT'!H7/'WEEKLY INPUT'!F7*90,0)</f>
        <v/>
      </c>
      <c r="I7" s="5">
        <f>IFERROR('WEEKLY INPUT'!I7/'WEEKLY INPUT'!F7*90,0)</f>
        <v/>
      </c>
      <c r="J7" s="5">
        <f>H7+I7</f>
        <v/>
      </c>
      <c r="K7" s="5">
        <f>IFERROR('WEEKLY INPUT'!J7/'WEEKLY INPUT'!F7*90,0)</f>
        <v/>
      </c>
      <c r="L7" s="5">
        <f>IFERROR('WEEKLY INPUT'!K7/'WEEKLY INPUT'!F7*90,0)</f>
        <v/>
      </c>
      <c r="M7" s="5">
        <f>IFERROR('WEEKLY INPUT'!L7/'WEEKLY INPUT'!F7*90,0)</f>
        <v/>
      </c>
      <c r="N7" s="5">
        <f>IFERROR('WEEKLY INPUT'!M7/'WEEKLY INPUT'!F7*90,0)</f>
        <v/>
      </c>
      <c r="O7" s="5">
        <f>IFERROR('WEEKLY INPUT'!N7/'WEEKLY INPUT'!F7*90,0)</f>
        <v/>
      </c>
      <c r="P7" s="5">
        <f>IFERROR('WEEKLY INPUT'!O7/'WEEKLY INPUT'!F7*90,0)</f>
        <v/>
      </c>
      <c r="Q7" s="5">
        <f>IFERROR(('WEEKLY INPUT'!J7*2+'WEEKLY INPUT'!K7*1+'WEEKLY INPUT'!O7*0.2)/'WEEKLY INPUT'!F7,0)</f>
        <v/>
      </c>
      <c r="R7" s="5">
        <f>MAX(0.25,MIN(1.15,(F7/540)*0.5+G7*0.5))</f>
        <v/>
      </c>
      <c r="S7" s="5">
        <f>MAX(0.70,MIN(1.10,0.85+0.15*G7))</f>
        <v/>
      </c>
      <c r="T7" s="5">
        <f>IF(A7="","",2*('WEEKLY INPUT'!P7/90)+(H7*5+I7*3)*('WEEKLY INPUT'!P7/90)+(P7*0.15)*('WEEKLY INPUT'!P7/90)+Q7*0.25)</f>
        <v/>
      </c>
      <c r="U7" s="5">
        <f>IF($A7="","",$T7*(1+($3-'WEEKLY INPUT'!R7)*0.10)*$R7*$S7*1.0)</f>
        <v/>
      </c>
      <c r="V7" s="5">
        <f>IF($A7="","",$T7*(1+($3-'WEEKLY INPUT'!S7)*0.10)*$R7*$S7*0.975)</f>
        <v/>
      </c>
      <c r="W7" s="5">
        <f>IF($A7="","",$T7*(1+($3-'WEEKLY INPUT'!T7)*0.10)*$R7*$S7*0.95)</f>
        <v/>
      </c>
      <c r="X7" s="5">
        <f>IF($A7="","",$T7*(1+($3-'WEEKLY INPUT'!U7)*0.10)*$R7*$S7*0.925)</f>
        <v/>
      </c>
      <c r="Y7" s="5">
        <f>IF($A7="","",$T7*(1+($3-'WEEKLY INPUT'!V7)*0.10)*$R7*$S7*0.9)</f>
        <v/>
      </c>
      <c r="Z7" s="5">
        <f>IF($A7="","",$T7*(1+($3-'WEEKLY INPUT'!W7)*0.10)*$R7*$S7*0.875)</f>
        <v/>
      </c>
      <c r="AA7" s="5">
        <f>IF($A7="","",$T7*(1+($3-'WEEKLY INPUT'!X7)*0.10)*$R7*$S7*0.85)</f>
        <v/>
      </c>
      <c r="AB7" s="5">
        <f>IF($A7="","",$T7*(1+($3-'WEEKLY INPUT'!Y7)*0.10)*$R7*$S7*0.825)</f>
        <v/>
      </c>
      <c r="AC7" s="5">
        <f>SUM(U7:AB7)</f>
        <v/>
      </c>
      <c r="AD7" s="5">
        <f>SUM(U7:Z7)</f>
        <v/>
      </c>
      <c r="AE7" s="5">
        <f>IFERROR(AD7/D7,0)</f>
        <v/>
      </c>
      <c r="AF7" s="5">
        <f>MAX(0,1-R7)</f>
        <v/>
      </c>
      <c r="AG7" s="5">
        <f>IFERROR((H7+I7)*R7*(1+0.10*(3-'WEEKLY INPUT'!R7)),"")</f>
        <v/>
      </c>
      <c r="AH7" s="5">
        <f>IFERROR(AG7/SUMPRODUCT($AG$6:$AG$205),"")</f>
        <v/>
      </c>
      <c r="AI7" s="5">
        <f>IFERROR(AD7*(1-AF7*0.5)*(1+0.15*AE7),0)</f>
        <v/>
      </c>
      <c r="AJ7" s="5">
        <f>IF(A7="","",RANK(AI7,$AI$6:$AI$205,0))</f>
        <v/>
      </c>
      <c r="AK7" s="5">
        <f>IFERROR('WEEKLY INPUT'!Z7,"")</f>
        <v/>
      </c>
    </row>
    <row r="8">
      <c r="A8" s="5">
        <f>IFERROR('WEEKLY INPUT'!A8,"")</f>
        <v/>
      </c>
      <c r="B8" s="5">
        <f>IFERROR('WEEKLY INPUT'!B8,"")</f>
        <v/>
      </c>
      <c r="C8" s="5">
        <f>IFERROR('WEEKLY INPUT'!C8,"")</f>
        <v/>
      </c>
      <c r="D8" s="5">
        <f>IFERROR('WEEKLY INPUT'!D8,0)</f>
        <v/>
      </c>
      <c r="E8" s="5">
        <f>IFERROR('WEEKLY INPUT'!E8,0)</f>
        <v/>
      </c>
      <c r="F8" s="5">
        <f>IFERROR('WEEKLY INPUT'!F8,0)</f>
        <v/>
      </c>
      <c r="G8" s="5">
        <f>IFERROR('WEEKLY INPUT'!Q8,0)</f>
        <v/>
      </c>
      <c r="H8" s="5">
        <f>IFERROR('WEEKLY INPUT'!H8/'WEEKLY INPUT'!F8*90,0)</f>
        <v/>
      </c>
      <c r="I8" s="5">
        <f>IFERROR('WEEKLY INPUT'!I8/'WEEKLY INPUT'!F8*90,0)</f>
        <v/>
      </c>
      <c r="J8" s="5">
        <f>H8+I8</f>
        <v/>
      </c>
      <c r="K8" s="5">
        <f>IFERROR('WEEKLY INPUT'!J8/'WEEKLY INPUT'!F8*90,0)</f>
        <v/>
      </c>
      <c r="L8" s="5">
        <f>IFERROR('WEEKLY INPUT'!K8/'WEEKLY INPUT'!F8*90,0)</f>
        <v/>
      </c>
      <c r="M8" s="5">
        <f>IFERROR('WEEKLY INPUT'!L8/'WEEKLY INPUT'!F8*90,0)</f>
        <v/>
      </c>
      <c r="N8" s="5">
        <f>IFERROR('WEEKLY INPUT'!M8/'WEEKLY INPUT'!F8*90,0)</f>
        <v/>
      </c>
      <c r="O8" s="5">
        <f>IFERROR('WEEKLY INPUT'!N8/'WEEKLY INPUT'!F8*90,0)</f>
        <v/>
      </c>
      <c r="P8" s="5">
        <f>IFERROR('WEEKLY INPUT'!O8/'WEEKLY INPUT'!F8*90,0)</f>
        <v/>
      </c>
      <c r="Q8" s="5">
        <f>IFERROR(('WEEKLY INPUT'!J8*2+'WEEKLY INPUT'!K8*1+'WEEKLY INPUT'!O8*0.2)/'WEEKLY INPUT'!F8,0)</f>
        <v/>
      </c>
      <c r="R8" s="5">
        <f>MAX(0.25,MIN(1.15,(F8/540)*0.5+G8*0.5))</f>
        <v/>
      </c>
      <c r="S8" s="5">
        <f>MAX(0.70,MIN(1.10,0.85+0.15*G8))</f>
        <v/>
      </c>
      <c r="T8" s="5">
        <f>IF(A8="","",2*('WEEKLY INPUT'!P8/90)+(H8*5+I8*3)*('WEEKLY INPUT'!P8/90)+(P8*0.15)*('WEEKLY INPUT'!P8/90)+Q8*0.25)</f>
        <v/>
      </c>
      <c r="U8" s="5">
        <f>IF($A8="","",$T8*(1+($3-'WEEKLY INPUT'!R8)*0.10)*$R8*$S8*1.0)</f>
        <v/>
      </c>
      <c r="V8" s="5">
        <f>IF($A8="","",$T8*(1+($3-'WEEKLY INPUT'!S8)*0.10)*$R8*$S8*0.975)</f>
        <v/>
      </c>
      <c r="W8" s="5">
        <f>IF($A8="","",$T8*(1+($3-'WEEKLY INPUT'!T8)*0.10)*$R8*$S8*0.95)</f>
        <v/>
      </c>
      <c r="X8" s="5">
        <f>IF($A8="","",$T8*(1+($3-'WEEKLY INPUT'!U8)*0.10)*$R8*$S8*0.925)</f>
        <v/>
      </c>
      <c r="Y8" s="5">
        <f>IF($A8="","",$T8*(1+($3-'WEEKLY INPUT'!V8)*0.10)*$R8*$S8*0.9)</f>
        <v/>
      </c>
      <c r="Z8" s="5">
        <f>IF($A8="","",$T8*(1+($3-'WEEKLY INPUT'!W8)*0.10)*$R8*$S8*0.875)</f>
        <v/>
      </c>
      <c r="AA8" s="5">
        <f>IF($A8="","",$T8*(1+($3-'WEEKLY INPUT'!X8)*0.10)*$R8*$S8*0.85)</f>
        <v/>
      </c>
      <c r="AB8" s="5">
        <f>IF($A8="","",$T8*(1+($3-'WEEKLY INPUT'!Y8)*0.10)*$R8*$S8*0.825)</f>
        <v/>
      </c>
      <c r="AC8" s="5">
        <f>SUM(U8:AB8)</f>
        <v/>
      </c>
      <c r="AD8" s="5">
        <f>SUM(U8:Z8)</f>
        <v/>
      </c>
      <c r="AE8" s="5">
        <f>IFERROR(AD8/D8,0)</f>
        <v/>
      </c>
      <c r="AF8" s="5">
        <f>MAX(0,1-R8)</f>
        <v/>
      </c>
      <c r="AG8" s="5">
        <f>IFERROR((H8+I8)*R8*(1+0.10*(3-'WEEKLY INPUT'!R8)),"")</f>
        <v/>
      </c>
      <c r="AH8" s="5">
        <f>IFERROR(AG8/SUMPRODUCT($AG$6:$AG$205),"")</f>
        <v/>
      </c>
      <c r="AI8" s="5">
        <f>IFERROR(AD8*(1-AF8*0.5)*(1+0.15*AE8),0)</f>
        <v/>
      </c>
      <c r="AJ8" s="5">
        <f>IF(A8="","",RANK(AI8,$AI$6:$AI$205,0))</f>
        <v/>
      </c>
      <c r="AK8" s="5">
        <f>IFERROR('WEEKLY INPUT'!Z8,"")</f>
        <v/>
      </c>
    </row>
    <row r="9">
      <c r="A9" s="5">
        <f>IFERROR('WEEKLY INPUT'!A9,"")</f>
        <v/>
      </c>
      <c r="B9" s="5">
        <f>IFERROR('WEEKLY INPUT'!B9,"")</f>
        <v/>
      </c>
      <c r="C9" s="5">
        <f>IFERROR('WEEKLY INPUT'!C9,"")</f>
        <v/>
      </c>
      <c r="D9" s="5">
        <f>IFERROR('WEEKLY INPUT'!D9,0)</f>
        <v/>
      </c>
      <c r="E9" s="5">
        <f>IFERROR('WEEKLY INPUT'!E9,0)</f>
        <v/>
      </c>
      <c r="F9" s="5">
        <f>IFERROR('WEEKLY INPUT'!F9,0)</f>
        <v/>
      </c>
      <c r="G9" s="5">
        <f>IFERROR('WEEKLY INPUT'!Q9,0)</f>
        <v/>
      </c>
      <c r="H9" s="5">
        <f>IFERROR('WEEKLY INPUT'!H9/'WEEKLY INPUT'!F9*90,0)</f>
        <v/>
      </c>
      <c r="I9" s="5">
        <f>IFERROR('WEEKLY INPUT'!I9/'WEEKLY INPUT'!F9*90,0)</f>
        <v/>
      </c>
      <c r="J9" s="5">
        <f>H9+I9</f>
        <v/>
      </c>
      <c r="K9" s="5">
        <f>IFERROR('WEEKLY INPUT'!J9/'WEEKLY INPUT'!F9*90,0)</f>
        <v/>
      </c>
      <c r="L9" s="5">
        <f>IFERROR('WEEKLY INPUT'!K9/'WEEKLY INPUT'!F9*90,0)</f>
        <v/>
      </c>
      <c r="M9" s="5">
        <f>IFERROR('WEEKLY INPUT'!L9/'WEEKLY INPUT'!F9*90,0)</f>
        <v/>
      </c>
      <c r="N9" s="5">
        <f>IFERROR('WEEKLY INPUT'!M9/'WEEKLY INPUT'!F9*90,0)</f>
        <v/>
      </c>
      <c r="O9" s="5">
        <f>IFERROR('WEEKLY INPUT'!N9/'WEEKLY INPUT'!F9*90,0)</f>
        <v/>
      </c>
      <c r="P9" s="5">
        <f>IFERROR('WEEKLY INPUT'!O9/'WEEKLY INPUT'!F9*90,0)</f>
        <v/>
      </c>
      <c r="Q9" s="5">
        <f>IFERROR(('WEEKLY INPUT'!J9*2+'WEEKLY INPUT'!K9*1+'WEEKLY INPUT'!O9*0.2)/'WEEKLY INPUT'!F9,0)</f>
        <v/>
      </c>
      <c r="R9" s="5">
        <f>MAX(0.25,MIN(1.15,(F9/540)*0.5+G9*0.5))</f>
        <v/>
      </c>
      <c r="S9" s="5">
        <f>MAX(0.70,MIN(1.10,0.85+0.15*G9))</f>
        <v/>
      </c>
      <c r="T9" s="5">
        <f>IF(A9="","",2*('WEEKLY INPUT'!P9/90)+(H9*5+I9*3)*('WEEKLY INPUT'!P9/90)+(P9*0.15)*('WEEKLY INPUT'!P9/90)+Q9*0.25)</f>
        <v/>
      </c>
      <c r="U9" s="5">
        <f>IF($A9="","",$T9*(1+($3-'WEEKLY INPUT'!R9)*0.10)*$R9*$S9*1.0)</f>
        <v/>
      </c>
      <c r="V9" s="5">
        <f>IF($A9="","",$T9*(1+($3-'WEEKLY INPUT'!S9)*0.10)*$R9*$S9*0.975)</f>
        <v/>
      </c>
      <c r="W9" s="5">
        <f>IF($A9="","",$T9*(1+($3-'WEEKLY INPUT'!T9)*0.10)*$R9*$S9*0.95)</f>
        <v/>
      </c>
      <c r="X9" s="5">
        <f>IF($A9="","",$T9*(1+($3-'WEEKLY INPUT'!U9)*0.10)*$R9*$S9*0.925)</f>
        <v/>
      </c>
      <c r="Y9" s="5">
        <f>IF($A9="","",$T9*(1+($3-'WEEKLY INPUT'!V9)*0.10)*$R9*$S9*0.9)</f>
        <v/>
      </c>
      <c r="Z9" s="5">
        <f>IF($A9="","",$T9*(1+($3-'WEEKLY INPUT'!W9)*0.10)*$R9*$S9*0.875)</f>
        <v/>
      </c>
      <c r="AA9" s="5">
        <f>IF($A9="","",$T9*(1+($3-'WEEKLY INPUT'!X9)*0.10)*$R9*$S9*0.85)</f>
        <v/>
      </c>
      <c r="AB9" s="5">
        <f>IF($A9="","",$T9*(1+($3-'WEEKLY INPUT'!Y9)*0.10)*$R9*$S9*0.825)</f>
        <v/>
      </c>
      <c r="AC9" s="5">
        <f>SUM(U9:AB9)</f>
        <v/>
      </c>
      <c r="AD9" s="5">
        <f>SUM(U9:Z9)</f>
        <v/>
      </c>
      <c r="AE9" s="5">
        <f>IFERROR(AD9/D9,0)</f>
        <v/>
      </c>
      <c r="AF9" s="5">
        <f>MAX(0,1-R9)</f>
        <v/>
      </c>
      <c r="AG9" s="5">
        <f>IFERROR((H9+I9)*R9*(1+0.10*(3-'WEEKLY INPUT'!R9)),"")</f>
        <v/>
      </c>
      <c r="AH9" s="5">
        <f>IFERROR(AG9/SUMPRODUCT($AG$6:$AG$205),"")</f>
        <v/>
      </c>
      <c r="AI9" s="5">
        <f>IFERROR(AD9*(1-AF9*0.5)*(1+0.15*AE9),0)</f>
        <v/>
      </c>
      <c r="AJ9" s="5">
        <f>IF(A9="","",RANK(AI9,$AI$6:$AI$205,0))</f>
        <v/>
      </c>
      <c r="AK9" s="5">
        <f>IFERROR('WEEKLY INPUT'!Z9,"")</f>
        <v/>
      </c>
    </row>
    <row r="10">
      <c r="A10" s="5">
        <f>IFERROR('WEEKLY INPUT'!A10,"")</f>
        <v/>
      </c>
      <c r="B10" s="5">
        <f>IFERROR('WEEKLY INPUT'!B10,"")</f>
        <v/>
      </c>
      <c r="C10" s="5">
        <f>IFERROR('WEEKLY INPUT'!C10,"")</f>
        <v/>
      </c>
      <c r="D10" s="5">
        <f>IFERROR('WEEKLY INPUT'!D10,0)</f>
        <v/>
      </c>
      <c r="E10" s="5">
        <f>IFERROR('WEEKLY INPUT'!E10,0)</f>
        <v/>
      </c>
      <c r="F10" s="5">
        <f>IFERROR('WEEKLY INPUT'!F10,0)</f>
        <v/>
      </c>
      <c r="G10" s="5">
        <f>IFERROR('WEEKLY INPUT'!Q10,0)</f>
        <v/>
      </c>
      <c r="H10" s="5">
        <f>IFERROR('WEEKLY INPUT'!H10/'WEEKLY INPUT'!F10*90,0)</f>
        <v/>
      </c>
      <c r="I10" s="5">
        <f>IFERROR('WEEKLY INPUT'!I10/'WEEKLY INPUT'!F10*90,0)</f>
        <v/>
      </c>
      <c r="J10" s="5">
        <f>H10+I10</f>
        <v/>
      </c>
      <c r="K10" s="5">
        <f>IFERROR('WEEKLY INPUT'!J10/'WEEKLY INPUT'!F10*90,0)</f>
        <v/>
      </c>
      <c r="L10" s="5">
        <f>IFERROR('WEEKLY INPUT'!K10/'WEEKLY INPUT'!F10*90,0)</f>
        <v/>
      </c>
      <c r="M10" s="5">
        <f>IFERROR('WEEKLY INPUT'!L10/'WEEKLY INPUT'!F10*90,0)</f>
        <v/>
      </c>
      <c r="N10" s="5">
        <f>IFERROR('WEEKLY INPUT'!M10/'WEEKLY INPUT'!F10*90,0)</f>
        <v/>
      </c>
      <c r="O10" s="5">
        <f>IFERROR('WEEKLY INPUT'!N10/'WEEKLY INPUT'!F10*90,0)</f>
        <v/>
      </c>
      <c r="P10" s="5">
        <f>IFERROR('WEEKLY INPUT'!O10/'WEEKLY INPUT'!F10*90,0)</f>
        <v/>
      </c>
      <c r="Q10" s="5">
        <f>IFERROR(('WEEKLY INPUT'!J10*2+'WEEKLY INPUT'!K10*1+'WEEKLY INPUT'!O10*0.2)/'WEEKLY INPUT'!F10,0)</f>
        <v/>
      </c>
      <c r="R10" s="5">
        <f>MAX(0.25,MIN(1.15,(F10/540)*0.5+G10*0.5))</f>
        <v/>
      </c>
      <c r="S10" s="5">
        <f>MAX(0.70,MIN(1.10,0.85+0.15*G10))</f>
        <v/>
      </c>
      <c r="T10" s="5">
        <f>IF(A10="","",2*('WEEKLY INPUT'!P10/90)+(H10*5+I10*3)*('WEEKLY INPUT'!P10/90)+(P10*0.15)*('WEEKLY INPUT'!P10/90)+Q10*0.25)</f>
        <v/>
      </c>
      <c r="U10" s="5">
        <f>IF($A10="","",$T10*(1+($3-'WEEKLY INPUT'!R10)*0.10)*$R10*$S10*1.0)</f>
        <v/>
      </c>
      <c r="V10" s="5">
        <f>IF($A10="","",$T10*(1+($3-'WEEKLY INPUT'!S10)*0.10)*$R10*$S10*0.975)</f>
        <v/>
      </c>
      <c r="W10" s="5">
        <f>IF($A10="","",$T10*(1+($3-'WEEKLY INPUT'!T10)*0.10)*$R10*$S10*0.95)</f>
        <v/>
      </c>
      <c r="X10" s="5">
        <f>IF($A10="","",$T10*(1+($3-'WEEKLY INPUT'!U10)*0.10)*$R10*$S10*0.925)</f>
        <v/>
      </c>
      <c r="Y10" s="5">
        <f>IF($A10="","",$T10*(1+($3-'WEEKLY INPUT'!V10)*0.10)*$R10*$S10*0.9)</f>
        <v/>
      </c>
      <c r="Z10" s="5">
        <f>IF($A10="","",$T10*(1+($3-'WEEKLY INPUT'!W10)*0.10)*$R10*$S10*0.875)</f>
        <v/>
      </c>
      <c r="AA10" s="5">
        <f>IF($A10="","",$T10*(1+($3-'WEEKLY INPUT'!X10)*0.10)*$R10*$S10*0.85)</f>
        <v/>
      </c>
      <c r="AB10" s="5">
        <f>IF($A10="","",$T10*(1+($3-'WEEKLY INPUT'!Y10)*0.10)*$R10*$S10*0.825)</f>
        <v/>
      </c>
      <c r="AC10" s="5">
        <f>SUM(U10:AB10)</f>
        <v/>
      </c>
      <c r="AD10" s="5">
        <f>SUM(U10:Z10)</f>
        <v/>
      </c>
      <c r="AE10" s="5">
        <f>IFERROR(AD10/D10,0)</f>
        <v/>
      </c>
      <c r="AF10" s="5">
        <f>MAX(0,1-R10)</f>
        <v/>
      </c>
      <c r="AG10" s="5">
        <f>IFERROR((H10+I10)*R10*(1+0.10*(3-'WEEKLY INPUT'!R10)),"")</f>
        <v/>
      </c>
      <c r="AH10" s="5">
        <f>IFERROR(AG10/SUMPRODUCT($AG$6:$AG$205),"")</f>
        <v/>
      </c>
      <c r="AI10" s="5">
        <f>IFERROR(AD10*(1-AF10*0.5)*(1+0.15*AE10),0)</f>
        <v/>
      </c>
      <c r="AJ10" s="5">
        <f>IF(A10="","",RANK(AI10,$AI$6:$AI$205,0))</f>
        <v/>
      </c>
      <c r="AK10" s="5">
        <f>IFERROR('WEEKLY INPUT'!Z10,"")</f>
        <v/>
      </c>
    </row>
    <row r="11">
      <c r="A11" s="5">
        <f>IFERROR('WEEKLY INPUT'!A11,"")</f>
        <v/>
      </c>
      <c r="B11" s="5">
        <f>IFERROR('WEEKLY INPUT'!B11,"")</f>
        <v/>
      </c>
      <c r="C11" s="5">
        <f>IFERROR('WEEKLY INPUT'!C11,"")</f>
        <v/>
      </c>
      <c r="D11" s="5">
        <f>IFERROR('WEEKLY INPUT'!D11,0)</f>
        <v/>
      </c>
      <c r="E11" s="5">
        <f>IFERROR('WEEKLY INPUT'!E11,0)</f>
        <v/>
      </c>
      <c r="F11" s="5">
        <f>IFERROR('WEEKLY INPUT'!F11,0)</f>
        <v/>
      </c>
      <c r="G11" s="5">
        <f>IFERROR('WEEKLY INPUT'!Q11,0)</f>
        <v/>
      </c>
      <c r="H11" s="5">
        <f>IFERROR('WEEKLY INPUT'!H11/'WEEKLY INPUT'!F11*90,0)</f>
        <v/>
      </c>
      <c r="I11" s="5">
        <f>IFERROR('WEEKLY INPUT'!I11/'WEEKLY INPUT'!F11*90,0)</f>
        <v/>
      </c>
      <c r="J11" s="5">
        <f>H11+I11</f>
        <v/>
      </c>
      <c r="K11" s="5">
        <f>IFERROR('WEEKLY INPUT'!J11/'WEEKLY INPUT'!F11*90,0)</f>
        <v/>
      </c>
      <c r="L11" s="5">
        <f>IFERROR('WEEKLY INPUT'!K11/'WEEKLY INPUT'!F11*90,0)</f>
        <v/>
      </c>
      <c r="M11" s="5">
        <f>IFERROR('WEEKLY INPUT'!L11/'WEEKLY INPUT'!F11*90,0)</f>
        <v/>
      </c>
      <c r="N11" s="5">
        <f>IFERROR('WEEKLY INPUT'!M11/'WEEKLY INPUT'!F11*90,0)</f>
        <v/>
      </c>
      <c r="O11" s="5">
        <f>IFERROR('WEEKLY INPUT'!N11/'WEEKLY INPUT'!F11*90,0)</f>
        <v/>
      </c>
      <c r="P11" s="5">
        <f>IFERROR('WEEKLY INPUT'!O11/'WEEKLY INPUT'!F11*90,0)</f>
        <v/>
      </c>
      <c r="Q11" s="5">
        <f>IFERROR(('WEEKLY INPUT'!J11*2+'WEEKLY INPUT'!K11*1+'WEEKLY INPUT'!O11*0.2)/'WEEKLY INPUT'!F11,0)</f>
        <v/>
      </c>
      <c r="R11" s="5">
        <f>MAX(0.25,MIN(1.15,(F11/540)*0.5+G11*0.5))</f>
        <v/>
      </c>
      <c r="S11" s="5">
        <f>MAX(0.70,MIN(1.10,0.85+0.15*G11))</f>
        <v/>
      </c>
      <c r="T11" s="5">
        <f>IF(A11="","",2*('WEEKLY INPUT'!P11/90)+(H11*5+I11*3)*('WEEKLY INPUT'!P11/90)+(P11*0.15)*('WEEKLY INPUT'!P11/90)+Q11*0.25)</f>
        <v/>
      </c>
      <c r="U11" s="5">
        <f>IF($A11="","",$T11*(1+($3-'WEEKLY INPUT'!R11)*0.10)*$R11*$S11*1.0)</f>
        <v/>
      </c>
      <c r="V11" s="5">
        <f>IF($A11="","",$T11*(1+($3-'WEEKLY INPUT'!S11)*0.10)*$R11*$S11*0.975)</f>
        <v/>
      </c>
      <c r="W11" s="5">
        <f>IF($A11="","",$T11*(1+($3-'WEEKLY INPUT'!T11)*0.10)*$R11*$S11*0.95)</f>
        <v/>
      </c>
      <c r="X11" s="5">
        <f>IF($A11="","",$T11*(1+($3-'WEEKLY INPUT'!U11)*0.10)*$R11*$S11*0.925)</f>
        <v/>
      </c>
      <c r="Y11" s="5">
        <f>IF($A11="","",$T11*(1+($3-'WEEKLY INPUT'!V11)*0.10)*$R11*$S11*0.9)</f>
        <v/>
      </c>
      <c r="Z11" s="5">
        <f>IF($A11="","",$T11*(1+($3-'WEEKLY INPUT'!W11)*0.10)*$R11*$S11*0.875)</f>
        <v/>
      </c>
      <c r="AA11" s="5">
        <f>IF($A11="","",$T11*(1+($3-'WEEKLY INPUT'!X11)*0.10)*$R11*$S11*0.85)</f>
        <v/>
      </c>
      <c r="AB11" s="5">
        <f>IF($A11="","",$T11*(1+($3-'WEEKLY INPUT'!Y11)*0.10)*$R11*$S11*0.825)</f>
        <v/>
      </c>
      <c r="AC11" s="5">
        <f>SUM(U11:AB11)</f>
        <v/>
      </c>
      <c r="AD11" s="5">
        <f>SUM(U11:Z11)</f>
        <v/>
      </c>
      <c r="AE11" s="5">
        <f>IFERROR(AD11/D11,0)</f>
        <v/>
      </c>
      <c r="AF11" s="5">
        <f>MAX(0,1-R11)</f>
        <v/>
      </c>
      <c r="AG11" s="5">
        <f>IFERROR((H11+I11)*R11*(1+0.10*(3-'WEEKLY INPUT'!R11)),"")</f>
        <v/>
      </c>
      <c r="AH11" s="5">
        <f>IFERROR(AG11/SUMPRODUCT($AG$6:$AG$205),"")</f>
        <v/>
      </c>
      <c r="AI11" s="5">
        <f>IFERROR(AD11*(1-AF11*0.5)*(1+0.15*AE11),0)</f>
        <v/>
      </c>
      <c r="AJ11" s="5">
        <f>IF(A11="","",RANK(AI11,$AI$6:$AI$205,0))</f>
        <v/>
      </c>
      <c r="AK11" s="5">
        <f>IFERROR('WEEKLY INPUT'!Z11,"")</f>
        <v/>
      </c>
    </row>
    <row r="12">
      <c r="A12" s="5">
        <f>IFERROR('WEEKLY INPUT'!A12,"")</f>
        <v/>
      </c>
      <c r="B12" s="5">
        <f>IFERROR('WEEKLY INPUT'!B12,"")</f>
        <v/>
      </c>
      <c r="C12" s="5">
        <f>IFERROR('WEEKLY INPUT'!C12,"")</f>
        <v/>
      </c>
      <c r="D12" s="5">
        <f>IFERROR('WEEKLY INPUT'!D12,0)</f>
        <v/>
      </c>
      <c r="E12" s="5">
        <f>IFERROR('WEEKLY INPUT'!E12,0)</f>
        <v/>
      </c>
      <c r="F12" s="5">
        <f>IFERROR('WEEKLY INPUT'!F12,0)</f>
        <v/>
      </c>
      <c r="G12" s="5">
        <f>IFERROR('WEEKLY INPUT'!Q12,0)</f>
        <v/>
      </c>
      <c r="H12" s="5">
        <f>IFERROR('WEEKLY INPUT'!H12/'WEEKLY INPUT'!F12*90,0)</f>
        <v/>
      </c>
      <c r="I12" s="5">
        <f>IFERROR('WEEKLY INPUT'!I12/'WEEKLY INPUT'!F12*90,0)</f>
        <v/>
      </c>
      <c r="J12" s="5">
        <f>H12+I12</f>
        <v/>
      </c>
      <c r="K12" s="5">
        <f>IFERROR('WEEKLY INPUT'!J12/'WEEKLY INPUT'!F12*90,0)</f>
        <v/>
      </c>
      <c r="L12" s="5">
        <f>IFERROR('WEEKLY INPUT'!K12/'WEEKLY INPUT'!F12*90,0)</f>
        <v/>
      </c>
      <c r="M12" s="5">
        <f>IFERROR('WEEKLY INPUT'!L12/'WEEKLY INPUT'!F12*90,0)</f>
        <v/>
      </c>
      <c r="N12" s="5">
        <f>IFERROR('WEEKLY INPUT'!M12/'WEEKLY INPUT'!F12*90,0)</f>
        <v/>
      </c>
      <c r="O12" s="5">
        <f>IFERROR('WEEKLY INPUT'!N12/'WEEKLY INPUT'!F12*90,0)</f>
        <v/>
      </c>
      <c r="P12" s="5">
        <f>IFERROR('WEEKLY INPUT'!O12/'WEEKLY INPUT'!F12*90,0)</f>
        <v/>
      </c>
      <c r="Q12" s="5">
        <f>IFERROR(('WEEKLY INPUT'!J12*2+'WEEKLY INPUT'!K12*1+'WEEKLY INPUT'!O12*0.2)/'WEEKLY INPUT'!F12,0)</f>
        <v/>
      </c>
      <c r="R12" s="5">
        <f>MAX(0.25,MIN(1.15,(F12/540)*0.5+G12*0.5))</f>
        <v/>
      </c>
      <c r="S12" s="5">
        <f>MAX(0.70,MIN(1.10,0.85+0.15*G12))</f>
        <v/>
      </c>
      <c r="T12" s="5">
        <f>IF(A12="","",2*('WEEKLY INPUT'!P12/90)+(H12*5+I12*3)*('WEEKLY INPUT'!P12/90)+(P12*0.15)*('WEEKLY INPUT'!P12/90)+Q12*0.25)</f>
        <v/>
      </c>
      <c r="U12" s="5">
        <f>IF($A12="","",$T12*(1+($3-'WEEKLY INPUT'!R12)*0.10)*$R12*$S12*1.0)</f>
        <v/>
      </c>
      <c r="V12" s="5">
        <f>IF($A12="","",$T12*(1+($3-'WEEKLY INPUT'!S12)*0.10)*$R12*$S12*0.975)</f>
        <v/>
      </c>
      <c r="W12" s="5">
        <f>IF($A12="","",$T12*(1+($3-'WEEKLY INPUT'!T12)*0.10)*$R12*$S12*0.95)</f>
        <v/>
      </c>
      <c r="X12" s="5">
        <f>IF($A12="","",$T12*(1+($3-'WEEKLY INPUT'!U12)*0.10)*$R12*$S12*0.925)</f>
        <v/>
      </c>
      <c r="Y12" s="5">
        <f>IF($A12="","",$T12*(1+($3-'WEEKLY INPUT'!V12)*0.10)*$R12*$S12*0.9)</f>
        <v/>
      </c>
      <c r="Z12" s="5">
        <f>IF($A12="","",$T12*(1+($3-'WEEKLY INPUT'!W12)*0.10)*$R12*$S12*0.875)</f>
        <v/>
      </c>
      <c r="AA12" s="5">
        <f>IF($A12="","",$T12*(1+($3-'WEEKLY INPUT'!X12)*0.10)*$R12*$S12*0.85)</f>
        <v/>
      </c>
      <c r="AB12" s="5">
        <f>IF($A12="","",$T12*(1+($3-'WEEKLY INPUT'!Y12)*0.10)*$R12*$S12*0.825)</f>
        <v/>
      </c>
      <c r="AC12" s="5">
        <f>SUM(U12:AB12)</f>
        <v/>
      </c>
      <c r="AD12" s="5">
        <f>SUM(U12:Z12)</f>
        <v/>
      </c>
      <c r="AE12" s="5">
        <f>IFERROR(AD12/D12,0)</f>
        <v/>
      </c>
      <c r="AF12" s="5">
        <f>MAX(0,1-R12)</f>
        <v/>
      </c>
      <c r="AG12" s="5">
        <f>IFERROR((H12+I12)*R12*(1+0.10*(3-'WEEKLY INPUT'!R12)),"")</f>
        <v/>
      </c>
      <c r="AH12" s="5">
        <f>IFERROR(AG12/SUMPRODUCT($AG$6:$AG$205),"")</f>
        <v/>
      </c>
      <c r="AI12" s="5">
        <f>IFERROR(AD12*(1-AF12*0.5)*(1+0.15*AE12),0)</f>
        <v/>
      </c>
      <c r="AJ12" s="5">
        <f>IF(A12="","",RANK(AI12,$AI$6:$AI$205,0))</f>
        <v/>
      </c>
      <c r="AK12" s="5">
        <f>IFERROR('WEEKLY INPUT'!Z12,"")</f>
        <v/>
      </c>
    </row>
    <row r="13">
      <c r="A13" s="5">
        <f>IFERROR('WEEKLY INPUT'!A13,"")</f>
        <v/>
      </c>
      <c r="B13" s="5">
        <f>IFERROR('WEEKLY INPUT'!B13,"")</f>
        <v/>
      </c>
      <c r="C13" s="5">
        <f>IFERROR('WEEKLY INPUT'!C13,"")</f>
        <v/>
      </c>
      <c r="D13" s="5">
        <f>IFERROR('WEEKLY INPUT'!D13,0)</f>
        <v/>
      </c>
      <c r="E13" s="5">
        <f>IFERROR('WEEKLY INPUT'!E13,0)</f>
        <v/>
      </c>
      <c r="F13" s="5">
        <f>IFERROR('WEEKLY INPUT'!F13,0)</f>
        <v/>
      </c>
      <c r="G13" s="5">
        <f>IFERROR('WEEKLY INPUT'!Q13,0)</f>
        <v/>
      </c>
      <c r="H13" s="5">
        <f>IFERROR('WEEKLY INPUT'!H13/'WEEKLY INPUT'!F13*90,0)</f>
        <v/>
      </c>
      <c r="I13" s="5">
        <f>IFERROR('WEEKLY INPUT'!I13/'WEEKLY INPUT'!F13*90,0)</f>
        <v/>
      </c>
      <c r="J13" s="5">
        <f>H13+I13</f>
        <v/>
      </c>
      <c r="K13" s="5">
        <f>IFERROR('WEEKLY INPUT'!J13/'WEEKLY INPUT'!F13*90,0)</f>
        <v/>
      </c>
      <c r="L13" s="5">
        <f>IFERROR('WEEKLY INPUT'!K13/'WEEKLY INPUT'!F13*90,0)</f>
        <v/>
      </c>
      <c r="M13" s="5">
        <f>IFERROR('WEEKLY INPUT'!L13/'WEEKLY INPUT'!F13*90,0)</f>
        <v/>
      </c>
      <c r="N13" s="5">
        <f>IFERROR('WEEKLY INPUT'!M13/'WEEKLY INPUT'!F13*90,0)</f>
        <v/>
      </c>
      <c r="O13" s="5">
        <f>IFERROR('WEEKLY INPUT'!N13/'WEEKLY INPUT'!F13*90,0)</f>
        <v/>
      </c>
      <c r="P13" s="5">
        <f>IFERROR('WEEKLY INPUT'!O13/'WEEKLY INPUT'!F13*90,0)</f>
        <v/>
      </c>
      <c r="Q13" s="5">
        <f>IFERROR(('WEEKLY INPUT'!J13*2+'WEEKLY INPUT'!K13*1+'WEEKLY INPUT'!O13*0.2)/'WEEKLY INPUT'!F13,0)</f>
        <v/>
      </c>
      <c r="R13" s="5">
        <f>MAX(0.25,MIN(1.15,(F13/540)*0.5+G13*0.5))</f>
        <v/>
      </c>
      <c r="S13" s="5">
        <f>MAX(0.70,MIN(1.10,0.85+0.15*G13))</f>
        <v/>
      </c>
      <c r="T13" s="5">
        <f>IF(A13="","",2*('WEEKLY INPUT'!P13/90)+(H13*5+I13*3)*('WEEKLY INPUT'!P13/90)+(P13*0.15)*('WEEKLY INPUT'!P13/90)+Q13*0.25)</f>
        <v/>
      </c>
      <c r="U13" s="5">
        <f>IF($A13="","",$T13*(1+($3-'WEEKLY INPUT'!R13)*0.10)*$R13*$S13*1.0)</f>
        <v/>
      </c>
      <c r="V13" s="5">
        <f>IF($A13="","",$T13*(1+($3-'WEEKLY INPUT'!S13)*0.10)*$R13*$S13*0.975)</f>
        <v/>
      </c>
      <c r="W13" s="5">
        <f>IF($A13="","",$T13*(1+($3-'WEEKLY INPUT'!T13)*0.10)*$R13*$S13*0.95)</f>
        <v/>
      </c>
      <c r="X13" s="5">
        <f>IF($A13="","",$T13*(1+($3-'WEEKLY INPUT'!U13)*0.10)*$R13*$S13*0.925)</f>
        <v/>
      </c>
      <c r="Y13" s="5">
        <f>IF($A13="","",$T13*(1+($3-'WEEKLY INPUT'!V13)*0.10)*$R13*$S13*0.9)</f>
        <v/>
      </c>
      <c r="Z13" s="5">
        <f>IF($A13="","",$T13*(1+($3-'WEEKLY INPUT'!W13)*0.10)*$R13*$S13*0.875)</f>
        <v/>
      </c>
      <c r="AA13" s="5">
        <f>IF($A13="","",$T13*(1+($3-'WEEKLY INPUT'!X13)*0.10)*$R13*$S13*0.85)</f>
        <v/>
      </c>
      <c r="AB13" s="5">
        <f>IF($A13="","",$T13*(1+($3-'WEEKLY INPUT'!Y13)*0.10)*$R13*$S13*0.825)</f>
        <v/>
      </c>
      <c r="AC13" s="5">
        <f>SUM(U13:AB13)</f>
        <v/>
      </c>
      <c r="AD13" s="5">
        <f>SUM(U13:Z13)</f>
        <v/>
      </c>
      <c r="AE13" s="5">
        <f>IFERROR(AD13/D13,0)</f>
        <v/>
      </c>
      <c r="AF13" s="5">
        <f>MAX(0,1-R13)</f>
        <v/>
      </c>
      <c r="AG13" s="5">
        <f>IFERROR((H13+I13)*R13*(1+0.10*(3-'WEEKLY INPUT'!R13)),"")</f>
        <v/>
      </c>
      <c r="AH13" s="5">
        <f>IFERROR(AG13/SUMPRODUCT($AG$6:$AG$205),"")</f>
        <v/>
      </c>
      <c r="AI13" s="5">
        <f>IFERROR(AD13*(1-AF13*0.5)*(1+0.15*AE13),0)</f>
        <v/>
      </c>
      <c r="AJ13" s="5">
        <f>IF(A13="","",RANK(AI13,$AI$6:$AI$205,0))</f>
        <v/>
      </c>
      <c r="AK13" s="5">
        <f>IFERROR('WEEKLY INPUT'!Z13,"")</f>
        <v/>
      </c>
    </row>
    <row r="14">
      <c r="A14" s="5">
        <f>IFERROR('WEEKLY INPUT'!A14,"")</f>
        <v/>
      </c>
      <c r="B14" s="5">
        <f>IFERROR('WEEKLY INPUT'!B14,"")</f>
        <v/>
      </c>
      <c r="C14" s="5">
        <f>IFERROR('WEEKLY INPUT'!C14,"")</f>
        <v/>
      </c>
      <c r="D14" s="5">
        <f>IFERROR('WEEKLY INPUT'!D14,0)</f>
        <v/>
      </c>
      <c r="E14" s="5">
        <f>IFERROR('WEEKLY INPUT'!E14,0)</f>
        <v/>
      </c>
      <c r="F14" s="5">
        <f>IFERROR('WEEKLY INPUT'!F14,0)</f>
        <v/>
      </c>
      <c r="G14" s="5">
        <f>IFERROR('WEEKLY INPUT'!Q14,0)</f>
        <v/>
      </c>
      <c r="H14" s="5">
        <f>IFERROR('WEEKLY INPUT'!H14/'WEEKLY INPUT'!F14*90,0)</f>
        <v/>
      </c>
      <c r="I14" s="5">
        <f>IFERROR('WEEKLY INPUT'!I14/'WEEKLY INPUT'!F14*90,0)</f>
        <v/>
      </c>
      <c r="J14" s="5">
        <f>H14+I14</f>
        <v/>
      </c>
      <c r="K14" s="5">
        <f>IFERROR('WEEKLY INPUT'!J14/'WEEKLY INPUT'!F14*90,0)</f>
        <v/>
      </c>
      <c r="L14" s="5">
        <f>IFERROR('WEEKLY INPUT'!K14/'WEEKLY INPUT'!F14*90,0)</f>
        <v/>
      </c>
      <c r="M14" s="5">
        <f>IFERROR('WEEKLY INPUT'!L14/'WEEKLY INPUT'!F14*90,0)</f>
        <v/>
      </c>
      <c r="N14" s="5">
        <f>IFERROR('WEEKLY INPUT'!M14/'WEEKLY INPUT'!F14*90,0)</f>
        <v/>
      </c>
      <c r="O14" s="5">
        <f>IFERROR('WEEKLY INPUT'!N14/'WEEKLY INPUT'!F14*90,0)</f>
        <v/>
      </c>
      <c r="P14" s="5">
        <f>IFERROR('WEEKLY INPUT'!O14/'WEEKLY INPUT'!F14*90,0)</f>
        <v/>
      </c>
      <c r="Q14" s="5">
        <f>IFERROR(('WEEKLY INPUT'!J14*2+'WEEKLY INPUT'!K14*1+'WEEKLY INPUT'!O14*0.2)/'WEEKLY INPUT'!F14,0)</f>
        <v/>
      </c>
      <c r="R14" s="5">
        <f>MAX(0.25,MIN(1.15,(F14/540)*0.5+G14*0.5))</f>
        <v/>
      </c>
      <c r="S14" s="5">
        <f>MAX(0.70,MIN(1.10,0.85+0.15*G14))</f>
        <v/>
      </c>
      <c r="T14" s="5">
        <f>IF(A14="","",2*('WEEKLY INPUT'!P14/90)+(H14*5+I14*3)*('WEEKLY INPUT'!P14/90)+(P14*0.15)*('WEEKLY INPUT'!P14/90)+Q14*0.25)</f>
        <v/>
      </c>
      <c r="U14" s="5">
        <f>IF($A14="","",$T14*(1+($3-'WEEKLY INPUT'!R14)*0.10)*$R14*$S14*1.0)</f>
        <v/>
      </c>
      <c r="V14" s="5">
        <f>IF($A14="","",$T14*(1+($3-'WEEKLY INPUT'!S14)*0.10)*$R14*$S14*0.975)</f>
        <v/>
      </c>
      <c r="W14" s="5">
        <f>IF($A14="","",$T14*(1+($3-'WEEKLY INPUT'!T14)*0.10)*$R14*$S14*0.95)</f>
        <v/>
      </c>
      <c r="X14" s="5">
        <f>IF($A14="","",$T14*(1+($3-'WEEKLY INPUT'!U14)*0.10)*$R14*$S14*0.925)</f>
        <v/>
      </c>
      <c r="Y14" s="5">
        <f>IF($A14="","",$T14*(1+($3-'WEEKLY INPUT'!V14)*0.10)*$R14*$S14*0.9)</f>
        <v/>
      </c>
      <c r="Z14" s="5">
        <f>IF($A14="","",$T14*(1+($3-'WEEKLY INPUT'!W14)*0.10)*$R14*$S14*0.875)</f>
        <v/>
      </c>
      <c r="AA14" s="5">
        <f>IF($A14="","",$T14*(1+($3-'WEEKLY INPUT'!X14)*0.10)*$R14*$S14*0.85)</f>
        <v/>
      </c>
      <c r="AB14" s="5">
        <f>IF($A14="","",$T14*(1+($3-'WEEKLY INPUT'!Y14)*0.10)*$R14*$S14*0.825)</f>
        <v/>
      </c>
      <c r="AC14" s="5">
        <f>SUM(U14:AB14)</f>
        <v/>
      </c>
      <c r="AD14" s="5">
        <f>SUM(U14:Z14)</f>
        <v/>
      </c>
      <c r="AE14" s="5">
        <f>IFERROR(AD14/D14,0)</f>
        <v/>
      </c>
      <c r="AF14" s="5">
        <f>MAX(0,1-R14)</f>
        <v/>
      </c>
      <c r="AG14" s="5">
        <f>IFERROR((H14+I14)*R14*(1+0.10*(3-'WEEKLY INPUT'!R14)),"")</f>
        <v/>
      </c>
      <c r="AH14" s="5">
        <f>IFERROR(AG14/SUMPRODUCT($AG$6:$AG$205),"")</f>
        <v/>
      </c>
      <c r="AI14" s="5">
        <f>IFERROR(AD14*(1-AF14*0.5)*(1+0.15*AE14),0)</f>
        <v/>
      </c>
      <c r="AJ14" s="5">
        <f>IF(A14="","",RANK(AI14,$AI$6:$AI$205,0))</f>
        <v/>
      </c>
      <c r="AK14" s="5">
        <f>IFERROR('WEEKLY INPUT'!Z14,"")</f>
        <v/>
      </c>
    </row>
    <row r="15">
      <c r="A15" s="5">
        <f>IFERROR('WEEKLY INPUT'!A15,"")</f>
        <v/>
      </c>
      <c r="B15" s="5">
        <f>IFERROR('WEEKLY INPUT'!B15,"")</f>
        <v/>
      </c>
      <c r="C15" s="5">
        <f>IFERROR('WEEKLY INPUT'!C15,"")</f>
        <v/>
      </c>
      <c r="D15" s="5">
        <f>IFERROR('WEEKLY INPUT'!D15,0)</f>
        <v/>
      </c>
      <c r="E15" s="5">
        <f>IFERROR('WEEKLY INPUT'!E15,0)</f>
        <v/>
      </c>
      <c r="F15" s="5">
        <f>IFERROR('WEEKLY INPUT'!F15,0)</f>
        <v/>
      </c>
      <c r="G15" s="5">
        <f>IFERROR('WEEKLY INPUT'!Q15,0)</f>
        <v/>
      </c>
      <c r="H15" s="5">
        <f>IFERROR('WEEKLY INPUT'!H15/'WEEKLY INPUT'!F15*90,0)</f>
        <v/>
      </c>
      <c r="I15" s="5">
        <f>IFERROR('WEEKLY INPUT'!I15/'WEEKLY INPUT'!F15*90,0)</f>
        <v/>
      </c>
      <c r="J15" s="5">
        <f>H15+I15</f>
        <v/>
      </c>
      <c r="K15" s="5">
        <f>IFERROR('WEEKLY INPUT'!J15/'WEEKLY INPUT'!F15*90,0)</f>
        <v/>
      </c>
      <c r="L15" s="5">
        <f>IFERROR('WEEKLY INPUT'!K15/'WEEKLY INPUT'!F15*90,0)</f>
        <v/>
      </c>
      <c r="M15" s="5">
        <f>IFERROR('WEEKLY INPUT'!L15/'WEEKLY INPUT'!F15*90,0)</f>
        <v/>
      </c>
      <c r="N15" s="5">
        <f>IFERROR('WEEKLY INPUT'!M15/'WEEKLY INPUT'!F15*90,0)</f>
        <v/>
      </c>
      <c r="O15" s="5">
        <f>IFERROR('WEEKLY INPUT'!N15/'WEEKLY INPUT'!F15*90,0)</f>
        <v/>
      </c>
      <c r="P15" s="5">
        <f>IFERROR('WEEKLY INPUT'!O15/'WEEKLY INPUT'!F15*90,0)</f>
        <v/>
      </c>
      <c r="Q15" s="5">
        <f>IFERROR(('WEEKLY INPUT'!J15*2+'WEEKLY INPUT'!K15*1+'WEEKLY INPUT'!O15*0.2)/'WEEKLY INPUT'!F15,0)</f>
        <v/>
      </c>
      <c r="R15" s="5">
        <f>MAX(0.25,MIN(1.15,(F15/540)*0.5+G15*0.5))</f>
        <v/>
      </c>
      <c r="S15" s="5">
        <f>MAX(0.70,MIN(1.10,0.85+0.15*G15))</f>
        <v/>
      </c>
      <c r="T15" s="5">
        <f>IF(A15="","",2*('WEEKLY INPUT'!P15/90)+(H15*5+I15*3)*('WEEKLY INPUT'!P15/90)+(P15*0.15)*('WEEKLY INPUT'!P15/90)+Q15*0.25)</f>
        <v/>
      </c>
      <c r="U15" s="5">
        <f>IF($A15="","",$T15*(1+($3-'WEEKLY INPUT'!R15)*0.10)*$R15*$S15*1.0)</f>
        <v/>
      </c>
      <c r="V15" s="5">
        <f>IF($A15="","",$T15*(1+($3-'WEEKLY INPUT'!S15)*0.10)*$R15*$S15*0.975)</f>
        <v/>
      </c>
      <c r="W15" s="5">
        <f>IF($A15="","",$T15*(1+($3-'WEEKLY INPUT'!T15)*0.10)*$R15*$S15*0.95)</f>
        <v/>
      </c>
      <c r="X15" s="5">
        <f>IF($A15="","",$T15*(1+($3-'WEEKLY INPUT'!U15)*0.10)*$R15*$S15*0.925)</f>
        <v/>
      </c>
      <c r="Y15" s="5">
        <f>IF($A15="","",$T15*(1+($3-'WEEKLY INPUT'!V15)*0.10)*$R15*$S15*0.9)</f>
        <v/>
      </c>
      <c r="Z15" s="5">
        <f>IF($A15="","",$T15*(1+($3-'WEEKLY INPUT'!W15)*0.10)*$R15*$S15*0.875)</f>
        <v/>
      </c>
      <c r="AA15" s="5">
        <f>IF($A15="","",$T15*(1+($3-'WEEKLY INPUT'!X15)*0.10)*$R15*$S15*0.85)</f>
        <v/>
      </c>
      <c r="AB15" s="5">
        <f>IF($A15="","",$T15*(1+($3-'WEEKLY INPUT'!Y15)*0.10)*$R15*$S15*0.825)</f>
        <v/>
      </c>
      <c r="AC15" s="5">
        <f>SUM(U15:AB15)</f>
        <v/>
      </c>
      <c r="AD15" s="5">
        <f>SUM(U15:Z15)</f>
        <v/>
      </c>
      <c r="AE15" s="5">
        <f>IFERROR(AD15/D15,0)</f>
        <v/>
      </c>
      <c r="AF15" s="5">
        <f>MAX(0,1-R15)</f>
        <v/>
      </c>
      <c r="AG15" s="5">
        <f>IFERROR((H15+I15)*R15*(1+0.10*(3-'WEEKLY INPUT'!R15)),"")</f>
        <v/>
      </c>
      <c r="AH15" s="5">
        <f>IFERROR(AG15/SUMPRODUCT($AG$6:$AG$205),"")</f>
        <v/>
      </c>
      <c r="AI15" s="5">
        <f>IFERROR(AD15*(1-AF15*0.5)*(1+0.15*AE15),0)</f>
        <v/>
      </c>
      <c r="AJ15" s="5">
        <f>IF(A15="","",RANK(AI15,$AI$6:$AI$205,0))</f>
        <v/>
      </c>
      <c r="AK15" s="5">
        <f>IFERROR('WEEKLY INPUT'!Z15,"")</f>
        <v/>
      </c>
    </row>
    <row r="16">
      <c r="A16" s="5">
        <f>IFERROR('WEEKLY INPUT'!A16,"")</f>
        <v/>
      </c>
      <c r="B16" s="5">
        <f>IFERROR('WEEKLY INPUT'!B16,"")</f>
        <v/>
      </c>
      <c r="C16" s="5">
        <f>IFERROR('WEEKLY INPUT'!C16,"")</f>
        <v/>
      </c>
      <c r="D16" s="5">
        <f>IFERROR('WEEKLY INPUT'!D16,0)</f>
        <v/>
      </c>
      <c r="E16" s="5">
        <f>IFERROR('WEEKLY INPUT'!E16,0)</f>
        <v/>
      </c>
      <c r="F16" s="5">
        <f>IFERROR('WEEKLY INPUT'!F16,0)</f>
        <v/>
      </c>
      <c r="G16" s="5">
        <f>IFERROR('WEEKLY INPUT'!Q16,0)</f>
        <v/>
      </c>
      <c r="H16" s="5">
        <f>IFERROR('WEEKLY INPUT'!H16/'WEEKLY INPUT'!F16*90,0)</f>
        <v/>
      </c>
      <c r="I16" s="5">
        <f>IFERROR('WEEKLY INPUT'!I16/'WEEKLY INPUT'!F16*90,0)</f>
        <v/>
      </c>
      <c r="J16" s="5">
        <f>H16+I16</f>
        <v/>
      </c>
      <c r="K16" s="5">
        <f>IFERROR('WEEKLY INPUT'!J16/'WEEKLY INPUT'!F16*90,0)</f>
        <v/>
      </c>
      <c r="L16" s="5">
        <f>IFERROR('WEEKLY INPUT'!K16/'WEEKLY INPUT'!F16*90,0)</f>
        <v/>
      </c>
      <c r="M16" s="5">
        <f>IFERROR('WEEKLY INPUT'!L16/'WEEKLY INPUT'!F16*90,0)</f>
        <v/>
      </c>
      <c r="N16" s="5">
        <f>IFERROR('WEEKLY INPUT'!M16/'WEEKLY INPUT'!F16*90,0)</f>
        <v/>
      </c>
      <c r="O16" s="5">
        <f>IFERROR('WEEKLY INPUT'!N16/'WEEKLY INPUT'!F16*90,0)</f>
        <v/>
      </c>
      <c r="P16" s="5">
        <f>IFERROR('WEEKLY INPUT'!O16/'WEEKLY INPUT'!F16*90,0)</f>
        <v/>
      </c>
      <c r="Q16" s="5">
        <f>IFERROR(('WEEKLY INPUT'!J16*2+'WEEKLY INPUT'!K16*1+'WEEKLY INPUT'!O16*0.2)/'WEEKLY INPUT'!F16,0)</f>
        <v/>
      </c>
      <c r="R16" s="5">
        <f>MAX(0.25,MIN(1.15,(F16/540)*0.5+G16*0.5))</f>
        <v/>
      </c>
      <c r="S16" s="5">
        <f>MAX(0.70,MIN(1.10,0.85+0.15*G16))</f>
        <v/>
      </c>
      <c r="T16" s="5">
        <f>IF(A16="","",2*('WEEKLY INPUT'!P16/90)+(H16*5+I16*3)*('WEEKLY INPUT'!P16/90)+(P16*0.15)*('WEEKLY INPUT'!P16/90)+Q16*0.25)</f>
        <v/>
      </c>
      <c r="U16" s="5">
        <f>IF($A16="","",$T16*(1+($3-'WEEKLY INPUT'!R16)*0.10)*$R16*$S16*1.0)</f>
        <v/>
      </c>
      <c r="V16" s="5">
        <f>IF($A16="","",$T16*(1+($3-'WEEKLY INPUT'!S16)*0.10)*$R16*$S16*0.975)</f>
        <v/>
      </c>
      <c r="W16" s="5">
        <f>IF($A16="","",$T16*(1+($3-'WEEKLY INPUT'!T16)*0.10)*$R16*$S16*0.95)</f>
        <v/>
      </c>
      <c r="X16" s="5">
        <f>IF($A16="","",$T16*(1+($3-'WEEKLY INPUT'!U16)*0.10)*$R16*$S16*0.925)</f>
        <v/>
      </c>
      <c r="Y16" s="5">
        <f>IF($A16="","",$T16*(1+($3-'WEEKLY INPUT'!V16)*0.10)*$R16*$S16*0.9)</f>
        <v/>
      </c>
      <c r="Z16" s="5">
        <f>IF($A16="","",$T16*(1+($3-'WEEKLY INPUT'!W16)*0.10)*$R16*$S16*0.875)</f>
        <v/>
      </c>
      <c r="AA16" s="5">
        <f>IF($A16="","",$T16*(1+($3-'WEEKLY INPUT'!X16)*0.10)*$R16*$S16*0.85)</f>
        <v/>
      </c>
      <c r="AB16" s="5">
        <f>IF($A16="","",$T16*(1+($3-'WEEKLY INPUT'!Y16)*0.10)*$R16*$S16*0.825)</f>
        <v/>
      </c>
      <c r="AC16" s="5">
        <f>SUM(U16:AB16)</f>
        <v/>
      </c>
      <c r="AD16" s="5">
        <f>SUM(U16:Z16)</f>
        <v/>
      </c>
      <c r="AE16" s="5">
        <f>IFERROR(AD16/D16,0)</f>
        <v/>
      </c>
      <c r="AF16" s="5">
        <f>MAX(0,1-R16)</f>
        <v/>
      </c>
      <c r="AG16" s="5">
        <f>IFERROR((H16+I16)*R16*(1+0.10*(3-'WEEKLY INPUT'!R16)),"")</f>
        <v/>
      </c>
      <c r="AH16" s="5">
        <f>IFERROR(AG16/SUMPRODUCT($AG$6:$AG$205),"")</f>
        <v/>
      </c>
      <c r="AI16" s="5">
        <f>IFERROR(AD16*(1-AF16*0.5)*(1+0.15*AE16),0)</f>
        <v/>
      </c>
      <c r="AJ16" s="5">
        <f>IF(A16="","",RANK(AI16,$AI$6:$AI$205,0))</f>
        <v/>
      </c>
      <c r="AK16" s="5">
        <f>IFERROR('WEEKLY INPUT'!Z16,"")</f>
        <v/>
      </c>
    </row>
    <row r="17">
      <c r="A17" s="5">
        <f>IFERROR('WEEKLY INPUT'!A17,"")</f>
        <v/>
      </c>
      <c r="B17" s="5">
        <f>IFERROR('WEEKLY INPUT'!B17,"")</f>
        <v/>
      </c>
      <c r="C17" s="5">
        <f>IFERROR('WEEKLY INPUT'!C17,"")</f>
        <v/>
      </c>
      <c r="D17" s="5">
        <f>IFERROR('WEEKLY INPUT'!D17,0)</f>
        <v/>
      </c>
      <c r="E17" s="5">
        <f>IFERROR('WEEKLY INPUT'!E17,0)</f>
        <v/>
      </c>
      <c r="F17" s="5">
        <f>IFERROR('WEEKLY INPUT'!F17,0)</f>
        <v/>
      </c>
      <c r="G17" s="5">
        <f>IFERROR('WEEKLY INPUT'!Q17,0)</f>
        <v/>
      </c>
      <c r="H17" s="5">
        <f>IFERROR('WEEKLY INPUT'!H17/'WEEKLY INPUT'!F17*90,0)</f>
        <v/>
      </c>
      <c r="I17" s="5">
        <f>IFERROR('WEEKLY INPUT'!I17/'WEEKLY INPUT'!F17*90,0)</f>
        <v/>
      </c>
      <c r="J17" s="5">
        <f>H17+I17</f>
        <v/>
      </c>
      <c r="K17" s="5">
        <f>IFERROR('WEEKLY INPUT'!J17/'WEEKLY INPUT'!F17*90,0)</f>
        <v/>
      </c>
      <c r="L17" s="5">
        <f>IFERROR('WEEKLY INPUT'!K17/'WEEKLY INPUT'!F17*90,0)</f>
        <v/>
      </c>
      <c r="M17" s="5">
        <f>IFERROR('WEEKLY INPUT'!L17/'WEEKLY INPUT'!F17*90,0)</f>
        <v/>
      </c>
      <c r="N17" s="5">
        <f>IFERROR('WEEKLY INPUT'!M17/'WEEKLY INPUT'!F17*90,0)</f>
        <v/>
      </c>
      <c r="O17" s="5">
        <f>IFERROR('WEEKLY INPUT'!N17/'WEEKLY INPUT'!F17*90,0)</f>
        <v/>
      </c>
      <c r="P17" s="5">
        <f>IFERROR('WEEKLY INPUT'!O17/'WEEKLY INPUT'!F17*90,0)</f>
        <v/>
      </c>
      <c r="Q17" s="5">
        <f>IFERROR(('WEEKLY INPUT'!J17*2+'WEEKLY INPUT'!K17*1+'WEEKLY INPUT'!O17*0.2)/'WEEKLY INPUT'!F17,0)</f>
        <v/>
      </c>
      <c r="R17" s="5">
        <f>MAX(0.25,MIN(1.15,(F17/540)*0.5+G17*0.5))</f>
        <v/>
      </c>
      <c r="S17" s="5">
        <f>MAX(0.70,MIN(1.10,0.85+0.15*G17))</f>
        <v/>
      </c>
      <c r="T17" s="5">
        <f>IF(A17="","",2*('WEEKLY INPUT'!P17/90)+(H17*5+I17*3)*('WEEKLY INPUT'!P17/90)+(P17*0.15)*('WEEKLY INPUT'!P17/90)+Q17*0.25)</f>
        <v/>
      </c>
      <c r="U17" s="5">
        <f>IF($A17="","",$T17*(1+($3-'WEEKLY INPUT'!R17)*0.10)*$R17*$S17*1.0)</f>
        <v/>
      </c>
      <c r="V17" s="5">
        <f>IF($A17="","",$T17*(1+($3-'WEEKLY INPUT'!S17)*0.10)*$R17*$S17*0.975)</f>
        <v/>
      </c>
      <c r="W17" s="5">
        <f>IF($A17="","",$T17*(1+($3-'WEEKLY INPUT'!T17)*0.10)*$R17*$S17*0.95)</f>
        <v/>
      </c>
      <c r="X17" s="5">
        <f>IF($A17="","",$T17*(1+($3-'WEEKLY INPUT'!U17)*0.10)*$R17*$S17*0.925)</f>
        <v/>
      </c>
      <c r="Y17" s="5">
        <f>IF($A17="","",$T17*(1+($3-'WEEKLY INPUT'!V17)*0.10)*$R17*$S17*0.9)</f>
        <v/>
      </c>
      <c r="Z17" s="5">
        <f>IF($A17="","",$T17*(1+($3-'WEEKLY INPUT'!W17)*0.10)*$R17*$S17*0.875)</f>
        <v/>
      </c>
      <c r="AA17" s="5">
        <f>IF($A17="","",$T17*(1+($3-'WEEKLY INPUT'!X17)*0.10)*$R17*$S17*0.85)</f>
        <v/>
      </c>
      <c r="AB17" s="5">
        <f>IF($A17="","",$T17*(1+($3-'WEEKLY INPUT'!Y17)*0.10)*$R17*$S17*0.825)</f>
        <v/>
      </c>
      <c r="AC17" s="5">
        <f>SUM(U17:AB17)</f>
        <v/>
      </c>
      <c r="AD17" s="5">
        <f>SUM(U17:Z17)</f>
        <v/>
      </c>
      <c r="AE17" s="5">
        <f>IFERROR(AD17/D17,0)</f>
        <v/>
      </c>
      <c r="AF17" s="5">
        <f>MAX(0,1-R17)</f>
        <v/>
      </c>
      <c r="AG17" s="5">
        <f>IFERROR((H17+I17)*R17*(1+0.10*(3-'WEEKLY INPUT'!R17)),"")</f>
        <v/>
      </c>
      <c r="AH17" s="5">
        <f>IFERROR(AG17/SUMPRODUCT($AG$6:$AG$205),"")</f>
        <v/>
      </c>
      <c r="AI17" s="5">
        <f>IFERROR(AD17*(1-AF17*0.5)*(1+0.15*AE17),0)</f>
        <v/>
      </c>
      <c r="AJ17" s="5">
        <f>IF(A17="","",RANK(AI17,$AI$6:$AI$205,0))</f>
        <v/>
      </c>
      <c r="AK17" s="5">
        <f>IFERROR('WEEKLY INPUT'!Z17,"")</f>
        <v/>
      </c>
    </row>
    <row r="18">
      <c r="A18" s="5">
        <f>IFERROR('WEEKLY INPUT'!A18,"")</f>
        <v/>
      </c>
      <c r="B18" s="5">
        <f>IFERROR('WEEKLY INPUT'!B18,"")</f>
        <v/>
      </c>
      <c r="C18" s="5">
        <f>IFERROR('WEEKLY INPUT'!C18,"")</f>
        <v/>
      </c>
      <c r="D18" s="5">
        <f>IFERROR('WEEKLY INPUT'!D18,0)</f>
        <v/>
      </c>
      <c r="E18" s="5">
        <f>IFERROR('WEEKLY INPUT'!E18,0)</f>
        <v/>
      </c>
      <c r="F18" s="5">
        <f>IFERROR('WEEKLY INPUT'!F18,0)</f>
        <v/>
      </c>
      <c r="G18" s="5">
        <f>IFERROR('WEEKLY INPUT'!Q18,0)</f>
        <v/>
      </c>
      <c r="H18" s="5">
        <f>IFERROR('WEEKLY INPUT'!H18/'WEEKLY INPUT'!F18*90,0)</f>
        <v/>
      </c>
      <c r="I18" s="5">
        <f>IFERROR('WEEKLY INPUT'!I18/'WEEKLY INPUT'!F18*90,0)</f>
        <v/>
      </c>
      <c r="J18" s="5">
        <f>H18+I18</f>
        <v/>
      </c>
      <c r="K18" s="5">
        <f>IFERROR('WEEKLY INPUT'!J18/'WEEKLY INPUT'!F18*90,0)</f>
        <v/>
      </c>
      <c r="L18" s="5">
        <f>IFERROR('WEEKLY INPUT'!K18/'WEEKLY INPUT'!F18*90,0)</f>
        <v/>
      </c>
      <c r="M18" s="5">
        <f>IFERROR('WEEKLY INPUT'!L18/'WEEKLY INPUT'!F18*90,0)</f>
        <v/>
      </c>
      <c r="N18" s="5">
        <f>IFERROR('WEEKLY INPUT'!M18/'WEEKLY INPUT'!F18*90,0)</f>
        <v/>
      </c>
      <c r="O18" s="5">
        <f>IFERROR('WEEKLY INPUT'!N18/'WEEKLY INPUT'!F18*90,0)</f>
        <v/>
      </c>
      <c r="P18" s="5">
        <f>IFERROR('WEEKLY INPUT'!O18/'WEEKLY INPUT'!F18*90,0)</f>
        <v/>
      </c>
      <c r="Q18" s="5">
        <f>IFERROR(('WEEKLY INPUT'!J18*2+'WEEKLY INPUT'!K18*1+'WEEKLY INPUT'!O18*0.2)/'WEEKLY INPUT'!F18,0)</f>
        <v/>
      </c>
      <c r="R18" s="5">
        <f>MAX(0.25,MIN(1.15,(F18/540)*0.5+G18*0.5))</f>
        <v/>
      </c>
      <c r="S18" s="5">
        <f>MAX(0.70,MIN(1.10,0.85+0.15*G18))</f>
        <v/>
      </c>
      <c r="T18" s="5">
        <f>IF(A18="","",2*('WEEKLY INPUT'!P18/90)+(H18*5+I18*3)*('WEEKLY INPUT'!P18/90)+(P18*0.15)*('WEEKLY INPUT'!P18/90)+Q18*0.25)</f>
        <v/>
      </c>
      <c r="U18" s="5">
        <f>IF($A18="","",$T18*(1+($3-'WEEKLY INPUT'!R18)*0.10)*$R18*$S18*1.0)</f>
        <v/>
      </c>
      <c r="V18" s="5">
        <f>IF($A18="","",$T18*(1+($3-'WEEKLY INPUT'!S18)*0.10)*$R18*$S18*0.975)</f>
        <v/>
      </c>
      <c r="W18" s="5">
        <f>IF($A18="","",$T18*(1+($3-'WEEKLY INPUT'!T18)*0.10)*$R18*$S18*0.95)</f>
        <v/>
      </c>
      <c r="X18" s="5">
        <f>IF($A18="","",$T18*(1+($3-'WEEKLY INPUT'!U18)*0.10)*$R18*$S18*0.925)</f>
        <v/>
      </c>
      <c r="Y18" s="5">
        <f>IF($A18="","",$T18*(1+($3-'WEEKLY INPUT'!V18)*0.10)*$R18*$S18*0.9)</f>
        <v/>
      </c>
      <c r="Z18" s="5">
        <f>IF($A18="","",$T18*(1+($3-'WEEKLY INPUT'!W18)*0.10)*$R18*$S18*0.875)</f>
        <v/>
      </c>
      <c r="AA18" s="5">
        <f>IF($A18="","",$T18*(1+($3-'WEEKLY INPUT'!X18)*0.10)*$R18*$S18*0.85)</f>
        <v/>
      </c>
      <c r="AB18" s="5">
        <f>IF($A18="","",$T18*(1+($3-'WEEKLY INPUT'!Y18)*0.10)*$R18*$S18*0.825)</f>
        <v/>
      </c>
      <c r="AC18" s="5">
        <f>SUM(U18:AB18)</f>
        <v/>
      </c>
      <c r="AD18" s="5">
        <f>SUM(U18:Z18)</f>
        <v/>
      </c>
      <c r="AE18" s="5">
        <f>IFERROR(AD18/D18,0)</f>
        <v/>
      </c>
      <c r="AF18" s="5">
        <f>MAX(0,1-R18)</f>
        <v/>
      </c>
      <c r="AG18" s="5">
        <f>IFERROR((H18+I18)*R18*(1+0.10*(3-'WEEKLY INPUT'!R18)),"")</f>
        <v/>
      </c>
      <c r="AH18" s="5">
        <f>IFERROR(AG18/SUMPRODUCT($AG$6:$AG$205),"")</f>
        <v/>
      </c>
      <c r="AI18" s="5">
        <f>IFERROR(AD18*(1-AF18*0.5)*(1+0.15*AE18),0)</f>
        <v/>
      </c>
      <c r="AJ18" s="5">
        <f>IF(A18="","",RANK(AI18,$AI$6:$AI$205,0))</f>
        <v/>
      </c>
      <c r="AK18" s="5">
        <f>IFERROR('WEEKLY INPUT'!Z18,"")</f>
        <v/>
      </c>
    </row>
    <row r="19">
      <c r="A19" s="5">
        <f>IFERROR('WEEKLY INPUT'!A19,"")</f>
        <v/>
      </c>
      <c r="B19" s="5">
        <f>IFERROR('WEEKLY INPUT'!B19,"")</f>
        <v/>
      </c>
      <c r="C19" s="5">
        <f>IFERROR('WEEKLY INPUT'!C19,"")</f>
        <v/>
      </c>
      <c r="D19" s="5">
        <f>IFERROR('WEEKLY INPUT'!D19,0)</f>
        <v/>
      </c>
      <c r="E19" s="5">
        <f>IFERROR('WEEKLY INPUT'!E19,0)</f>
        <v/>
      </c>
      <c r="F19" s="5">
        <f>IFERROR('WEEKLY INPUT'!F19,0)</f>
        <v/>
      </c>
      <c r="G19" s="5">
        <f>IFERROR('WEEKLY INPUT'!Q19,0)</f>
        <v/>
      </c>
      <c r="H19" s="5">
        <f>IFERROR('WEEKLY INPUT'!H19/'WEEKLY INPUT'!F19*90,0)</f>
        <v/>
      </c>
      <c r="I19" s="5">
        <f>IFERROR('WEEKLY INPUT'!I19/'WEEKLY INPUT'!F19*90,0)</f>
        <v/>
      </c>
      <c r="J19" s="5">
        <f>H19+I19</f>
        <v/>
      </c>
      <c r="K19" s="5">
        <f>IFERROR('WEEKLY INPUT'!J19/'WEEKLY INPUT'!F19*90,0)</f>
        <v/>
      </c>
      <c r="L19" s="5">
        <f>IFERROR('WEEKLY INPUT'!K19/'WEEKLY INPUT'!F19*90,0)</f>
        <v/>
      </c>
      <c r="M19" s="5">
        <f>IFERROR('WEEKLY INPUT'!L19/'WEEKLY INPUT'!F19*90,0)</f>
        <v/>
      </c>
      <c r="N19" s="5">
        <f>IFERROR('WEEKLY INPUT'!M19/'WEEKLY INPUT'!F19*90,0)</f>
        <v/>
      </c>
      <c r="O19" s="5">
        <f>IFERROR('WEEKLY INPUT'!N19/'WEEKLY INPUT'!F19*90,0)</f>
        <v/>
      </c>
      <c r="P19" s="5">
        <f>IFERROR('WEEKLY INPUT'!O19/'WEEKLY INPUT'!F19*90,0)</f>
        <v/>
      </c>
      <c r="Q19" s="5">
        <f>IFERROR(('WEEKLY INPUT'!J19*2+'WEEKLY INPUT'!K19*1+'WEEKLY INPUT'!O19*0.2)/'WEEKLY INPUT'!F19,0)</f>
        <v/>
      </c>
      <c r="R19" s="5">
        <f>MAX(0.25,MIN(1.15,(F19/540)*0.5+G19*0.5))</f>
        <v/>
      </c>
      <c r="S19" s="5">
        <f>MAX(0.70,MIN(1.10,0.85+0.15*G19))</f>
        <v/>
      </c>
      <c r="T19" s="5">
        <f>IF(A19="","",2*('WEEKLY INPUT'!P19/90)+(H19*5+I19*3)*('WEEKLY INPUT'!P19/90)+(P19*0.15)*('WEEKLY INPUT'!P19/90)+Q19*0.25)</f>
        <v/>
      </c>
      <c r="U19" s="5">
        <f>IF($A19="","",$T19*(1+($3-'WEEKLY INPUT'!R19)*0.10)*$R19*$S19*1.0)</f>
        <v/>
      </c>
      <c r="V19" s="5">
        <f>IF($A19="","",$T19*(1+($3-'WEEKLY INPUT'!S19)*0.10)*$R19*$S19*0.975)</f>
        <v/>
      </c>
      <c r="W19" s="5">
        <f>IF($A19="","",$T19*(1+($3-'WEEKLY INPUT'!T19)*0.10)*$R19*$S19*0.95)</f>
        <v/>
      </c>
      <c r="X19" s="5">
        <f>IF($A19="","",$T19*(1+($3-'WEEKLY INPUT'!U19)*0.10)*$R19*$S19*0.925)</f>
        <v/>
      </c>
      <c r="Y19" s="5">
        <f>IF($A19="","",$T19*(1+($3-'WEEKLY INPUT'!V19)*0.10)*$R19*$S19*0.9)</f>
        <v/>
      </c>
      <c r="Z19" s="5">
        <f>IF($A19="","",$T19*(1+($3-'WEEKLY INPUT'!W19)*0.10)*$R19*$S19*0.875)</f>
        <v/>
      </c>
      <c r="AA19" s="5">
        <f>IF($A19="","",$T19*(1+($3-'WEEKLY INPUT'!X19)*0.10)*$R19*$S19*0.85)</f>
        <v/>
      </c>
      <c r="AB19" s="5">
        <f>IF($A19="","",$T19*(1+($3-'WEEKLY INPUT'!Y19)*0.10)*$R19*$S19*0.825)</f>
        <v/>
      </c>
      <c r="AC19" s="5">
        <f>SUM(U19:AB19)</f>
        <v/>
      </c>
      <c r="AD19" s="5">
        <f>SUM(U19:Z19)</f>
        <v/>
      </c>
      <c r="AE19" s="5">
        <f>IFERROR(AD19/D19,0)</f>
        <v/>
      </c>
      <c r="AF19" s="5">
        <f>MAX(0,1-R19)</f>
        <v/>
      </c>
      <c r="AG19" s="5">
        <f>IFERROR((H19+I19)*R19*(1+0.10*(3-'WEEKLY INPUT'!R19)),"")</f>
        <v/>
      </c>
      <c r="AH19" s="5">
        <f>IFERROR(AG19/SUMPRODUCT($AG$6:$AG$205),"")</f>
        <v/>
      </c>
      <c r="AI19" s="5">
        <f>IFERROR(AD19*(1-AF19*0.5)*(1+0.15*AE19),0)</f>
        <v/>
      </c>
      <c r="AJ19" s="5">
        <f>IF(A19="","",RANK(AI19,$AI$6:$AI$205,0))</f>
        <v/>
      </c>
      <c r="AK19" s="5">
        <f>IFERROR('WEEKLY INPUT'!Z19,"")</f>
        <v/>
      </c>
    </row>
    <row r="20">
      <c r="A20" s="5">
        <f>IFERROR('WEEKLY INPUT'!A20,"")</f>
        <v/>
      </c>
      <c r="B20" s="5">
        <f>IFERROR('WEEKLY INPUT'!B20,"")</f>
        <v/>
      </c>
      <c r="C20" s="5">
        <f>IFERROR('WEEKLY INPUT'!C20,"")</f>
        <v/>
      </c>
      <c r="D20" s="5">
        <f>IFERROR('WEEKLY INPUT'!D20,0)</f>
        <v/>
      </c>
      <c r="E20" s="5">
        <f>IFERROR('WEEKLY INPUT'!E20,0)</f>
        <v/>
      </c>
      <c r="F20" s="5">
        <f>IFERROR('WEEKLY INPUT'!F20,0)</f>
        <v/>
      </c>
      <c r="G20" s="5">
        <f>IFERROR('WEEKLY INPUT'!Q20,0)</f>
        <v/>
      </c>
      <c r="H20" s="5">
        <f>IFERROR('WEEKLY INPUT'!H20/'WEEKLY INPUT'!F20*90,0)</f>
        <v/>
      </c>
      <c r="I20" s="5">
        <f>IFERROR('WEEKLY INPUT'!I20/'WEEKLY INPUT'!F20*90,0)</f>
        <v/>
      </c>
      <c r="J20" s="5">
        <f>H20+I20</f>
        <v/>
      </c>
      <c r="K20" s="5">
        <f>IFERROR('WEEKLY INPUT'!J20/'WEEKLY INPUT'!F20*90,0)</f>
        <v/>
      </c>
      <c r="L20" s="5">
        <f>IFERROR('WEEKLY INPUT'!K20/'WEEKLY INPUT'!F20*90,0)</f>
        <v/>
      </c>
      <c r="M20" s="5">
        <f>IFERROR('WEEKLY INPUT'!L20/'WEEKLY INPUT'!F20*90,0)</f>
        <v/>
      </c>
      <c r="N20" s="5">
        <f>IFERROR('WEEKLY INPUT'!M20/'WEEKLY INPUT'!F20*90,0)</f>
        <v/>
      </c>
      <c r="O20" s="5">
        <f>IFERROR('WEEKLY INPUT'!N20/'WEEKLY INPUT'!F20*90,0)</f>
        <v/>
      </c>
      <c r="P20" s="5">
        <f>IFERROR('WEEKLY INPUT'!O20/'WEEKLY INPUT'!F20*90,0)</f>
        <v/>
      </c>
      <c r="Q20" s="5">
        <f>IFERROR(('WEEKLY INPUT'!J20*2+'WEEKLY INPUT'!K20*1+'WEEKLY INPUT'!O20*0.2)/'WEEKLY INPUT'!F20,0)</f>
        <v/>
      </c>
      <c r="R20" s="5">
        <f>MAX(0.25,MIN(1.15,(F20/540)*0.5+G20*0.5))</f>
        <v/>
      </c>
      <c r="S20" s="5">
        <f>MAX(0.70,MIN(1.10,0.85+0.15*G20))</f>
        <v/>
      </c>
      <c r="T20" s="5">
        <f>IF(A20="","",2*('WEEKLY INPUT'!P20/90)+(H20*5+I20*3)*('WEEKLY INPUT'!P20/90)+(P20*0.15)*('WEEKLY INPUT'!P20/90)+Q20*0.25)</f>
        <v/>
      </c>
      <c r="U20" s="5">
        <f>IF($A20="","",$T20*(1+($3-'WEEKLY INPUT'!R20)*0.10)*$R20*$S20*1.0)</f>
        <v/>
      </c>
      <c r="V20" s="5">
        <f>IF($A20="","",$T20*(1+($3-'WEEKLY INPUT'!S20)*0.10)*$R20*$S20*0.975)</f>
        <v/>
      </c>
      <c r="W20" s="5">
        <f>IF($A20="","",$T20*(1+($3-'WEEKLY INPUT'!T20)*0.10)*$R20*$S20*0.95)</f>
        <v/>
      </c>
      <c r="X20" s="5">
        <f>IF($A20="","",$T20*(1+($3-'WEEKLY INPUT'!U20)*0.10)*$R20*$S20*0.925)</f>
        <v/>
      </c>
      <c r="Y20" s="5">
        <f>IF($A20="","",$T20*(1+($3-'WEEKLY INPUT'!V20)*0.10)*$R20*$S20*0.9)</f>
        <v/>
      </c>
      <c r="Z20" s="5">
        <f>IF($A20="","",$T20*(1+($3-'WEEKLY INPUT'!W20)*0.10)*$R20*$S20*0.875)</f>
        <v/>
      </c>
      <c r="AA20" s="5">
        <f>IF($A20="","",$T20*(1+($3-'WEEKLY INPUT'!X20)*0.10)*$R20*$S20*0.85)</f>
        <v/>
      </c>
      <c r="AB20" s="5">
        <f>IF($A20="","",$T20*(1+($3-'WEEKLY INPUT'!Y20)*0.10)*$R20*$S20*0.825)</f>
        <v/>
      </c>
      <c r="AC20" s="5">
        <f>SUM(U20:AB20)</f>
        <v/>
      </c>
      <c r="AD20" s="5">
        <f>SUM(U20:Z20)</f>
        <v/>
      </c>
      <c r="AE20" s="5">
        <f>IFERROR(AD20/D20,0)</f>
        <v/>
      </c>
      <c r="AF20" s="5">
        <f>MAX(0,1-R20)</f>
        <v/>
      </c>
      <c r="AG20" s="5">
        <f>IFERROR((H20+I20)*R20*(1+0.10*(3-'WEEKLY INPUT'!R20)),"")</f>
        <v/>
      </c>
      <c r="AH20" s="5">
        <f>IFERROR(AG20/SUMPRODUCT($AG$6:$AG$205),"")</f>
        <v/>
      </c>
      <c r="AI20" s="5">
        <f>IFERROR(AD20*(1-AF20*0.5)*(1+0.15*AE20),0)</f>
        <v/>
      </c>
      <c r="AJ20" s="5">
        <f>IF(A20="","",RANK(AI20,$AI$6:$AI$205,0))</f>
        <v/>
      </c>
      <c r="AK20" s="5">
        <f>IFERROR('WEEKLY INPUT'!Z20,"")</f>
        <v/>
      </c>
    </row>
    <row r="21">
      <c r="A21" s="5">
        <f>IFERROR('WEEKLY INPUT'!A21,"")</f>
        <v/>
      </c>
      <c r="B21" s="5">
        <f>IFERROR('WEEKLY INPUT'!B21,"")</f>
        <v/>
      </c>
      <c r="C21" s="5">
        <f>IFERROR('WEEKLY INPUT'!C21,"")</f>
        <v/>
      </c>
      <c r="D21" s="5">
        <f>IFERROR('WEEKLY INPUT'!D21,0)</f>
        <v/>
      </c>
      <c r="E21" s="5">
        <f>IFERROR('WEEKLY INPUT'!E21,0)</f>
        <v/>
      </c>
      <c r="F21" s="5">
        <f>IFERROR('WEEKLY INPUT'!F21,0)</f>
        <v/>
      </c>
      <c r="G21" s="5">
        <f>IFERROR('WEEKLY INPUT'!Q21,0)</f>
        <v/>
      </c>
      <c r="H21" s="5">
        <f>IFERROR('WEEKLY INPUT'!H21/'WEEKLY INPUT'!F21*90,0)</f>
        <v/>
      </c>
      <c r="I21" s="5">
        <f>IFERROR('WEEKLY INPUT'!I21/'WEEKLY INPUT'!F21*90,0)</f>
        <v/>
      </c>
      <c r="J21" s="5">
        <f>H21+I21</f>
        <v/>
      </c>
      <c r="K21" s="5">
        <f>IFERROR('WEEKLY INPUT'!J21/'WEEKLY INPUT'!F21*90,0)</f>
        <v/>
      </c>
      <c r="L21" s="5">
        <f>IFERROR('WEEKLY INPUT'!K21/'WEEKLY INPUT'!F21*90,0)</f>
        <v/>
      </c>
      <c r="M21" s="5">
        <f>IFERROR('WEEKLY INPUT'!L21/'WEEKLY INPUT'!F21*90,0)</f>
        <v/>
      </c>
      <c r="N21" s="5">
        <f>IFERROR('WEEKLY INPUT'!M21/'WEEKLY INPUT'!F21*90,0)</f>
        <v/>
      </c>
      <c r="O21" s="5">
        <f>IFERROR('WEEKLY INPUT'!N21/'WEEKLY INPUT'!F21*90,0)</f>
        <v/>
      </c>
      <c r="P21" s="5">
        <f>IFERROR('WEEKLY INPUT'!O21/'WEEKLY INPUT'!F21*90,0)</f>
        <v/>
      </c>
      <c r="Q21" s="5">
        <f>IFERROR(('WEEKLY INPUT'!J21*2+'WEEKLY INPUT'!K21*1+'WEEKLY INPUT'!O21*0.2)/'WEEKLY INPUT'!F21,0)</f>
        <v/>
      </c>
      <c r="R21" s="5">
        <f>MAX(0.25,MIN(1.15,(F21/540)*0.5+G21*0.5))</f>
        <v/>
      </c>
      <c r="S21" s="5">
        <f>MAX(0.70,MIN(1.10,0.85+0.15*G21))</f>
        <v/>
      </c>
      <c r="T21" s="5">
        <f>IF(A21="","",2*('WEEKLY INPUT'!P21/90)+(H21*5+I21*3)*('WEEKLY INPUT'!P21/90)+(P21*0.15)*('WEEKLY INPUT'!P21/90)+Q21*0.25)</f>
        <v/>
      </c>
      <c r="U21" s="5">
        <f>IF($A21="","",$T21*(1+($3-'WEEKLY INPUT'!R21)*0.10)*$R21*$S21*1.0)</f>
        <v/>
      </c>
      <c r="V21" s="5">
        <f>IF($A21="","",$T21*(1+($3-'WEEKLY INPUT'!S21)*0.10)*$R21*$S21*0.975)</f>
        <v/>
      </c>
      <c r="W21" s="5">
        <f>IF($A21="","",$T21*(1+($3-'WEEKLY INPUT'!T21)*0.10)*$R21*$S21*0.95)</f>
        <v/>
      </c>
      <c r="X21" s="5">
        <f>IF($A21="","",$T21*(1+($3-'WEEKLY INPUT'!U21)*0.10)*$R21*$S21*0.925)</f>
        <v/>
      </c>
      <c r="Y21" s="5">
        <f>IF($A21="","",$T21*(1+($3-'WEEKLY INPUT'!V21)*0.10)*$R21*$S21*0.9)</f>
        <v/>
      </c>
      <c r="Z21" s="5">
        <f>IF($A21="","",$T21*(1+($3-'WEEKLY INPUT'!W21)*0.10)*$R21*$S21*0.875)</f>
        <v/>
      </c>
      <c r="AA21" s="5">
        <f>IF($A21="","",$T21*(1+($3-'WEEKLY INPUT'!X21)*0.10)*$R21*$S21*0.85)</f>
        <v/>
      </c>
      <c r="AB21" s="5">
        <f>IF($A21="","",$T21*(1+($3-'WEEKLY INPUT'!Y21)*0.10)*$R21*$S21*0.825)</f>
        <v/>
      </c>
      <c r="AC21" s="5">
        <f>SUM(U21:AB21)</f>
        <v/>
      </c>
      <c r="AD21" s="5">
        <f>SUM(U21:Z21)</f>
        <v/>
      </c>
      <c r="AE21" s="5">
        <f>IFERROR(AD21/D21,0)</f>
        <v/>
      </c>
      <c r="AF21" s="5">
        <f>MAX(0,1-R21)</f>
        <v/>
      </c>
      <c r="AG21" s="5">
        <f>IFERROR((H21+I21)*R21*(1+0.10*(3-'WEEKLY INPUT'!R21)),"")</f>
        <v/>
      </c>
      <c r="AH21" s="5">
        <f>IFERROR(AG21/SUMPRODUCT($AG$6:$AG$205),"")</f>
        <v/>
      </c>
      <c r="AI21" s="5">
        <f>IFERROR(AD21*(1-AF21*0.5)*(1+0.15*AE21),0)</f>
        <v/>
      </c>
      <c r="AJ21" s="5">
        <f>IF(A21="","",RANK(AI21,$AI$6:$AI$205,0))</f>
        <v/>
      </c>
      <c r="AK21" s="5">
        <f>IFERROR('WEEKLY INPUT'!Z21,"")</f>
        <v/>
      </c>
    </row>
    <row r="22">
      <c r="A22" s="5">
        <f>IFERROR('WEEKLY INPUT'!A22,"")</f>
        <v/>
      </c>
      <c r="B22" s="5">
        <f>IFERROR('WEEKLY INPUT'!B22,"")</f>
        <v/>
      </c>
      <c r="C22" s="5">
        <f>IFERROR('WEEKLY INPUT'!C22,"")</f>
        <v/>
      </c>
      <c r="D22" s="5">
        <f>IFERROR('WEEKLY INPUT'!D22,0)</f>
        <v/>
      </c>
      <c r="E22" s="5">
        <f>IFERROR('WEEKLY INPUT'!E22,0)</f>
        <v/>
      </c>
      <c r="F22" s="5">
        <f>IFERROR('WEEKLY INPUT'!F22,0)</f>
        <v/>
      </c>
      <c r="G22" s="5">
        <f>IFERROR('WEEKLY INPUT'!Q22,0)</f>
        <v/>
      </c>
      <c r="H22" s="5">
        <f>IFERROR('WEEKLY INPUT'!H22/'WEEKLY INPUT'!F22*90,0)</f>
        <v/>
      </c>
      <c r="I22" s="5">
        <f>IFERROR('WEEKLY INPUT'!I22/'WEEKLY INPUT'!F22*90,0)</f>
        <v/>
      </c>
      <c r="J22" s="5">
        <f>H22+I22</f>
        <v/>
      </c>
      <c r="K22" s="5">
        <f>IFERROR('WEEKLY INPUT'!J22/'WEEKLY INPUT'!F22*90,0)</f>
        <v/>
      </c>
      <c r="L22" s="5">
        <f>IFERROR('WEEKLY INPUT'!K22/'WEEKLY INPUT'!F22*90,0)</f>
        <v/>
      </c>
      <c r="M22" s="5">
        <f>IFERROR('WEEKLY INPUT'!L22/'WEEKLY INPUT'!F22*90,0)</f>
        <v/>
      </c>
      <c r="N22" s="5">
        <f>IFERROR('WEEKLY INPUT'!M22/'WEEKLY INPUT'!F22*90,0)</f>
        <v/>
      </c>
      <c r="O22" s="5">
        <f>IFERROR('WEEKLY INPUT'!N22/'WEEKLY INPUT'!F22*90,0)</f>
        <v/>
      </c>
      <c r="P22" s="5">
        <f>IFERROR('WEEKLY INPUT'!O22/'WEEKLY INPUT'!F22*90,0)</f>
        <v/>
      </c>
      <c r="Q22" s="5">
        <f>IFERROR(('WEEKLY INPUT'!J22*2+'WEEKLY INPUT'!K22*1+'WEEKLY INPUT'!O22*0.2)/'WEEKLY INPUT'!F22,0)</f>
        <v/>
      </c>
      <c r="R22" s="5">
        <f>MAX(0.25,MIN(1.15,(F22/540)*0.5+G22*0.5))</f>
        <v/>
      </c>
      <c r="S22" s="5">
        <f>MAX(0.70,MIN(1.10,0.85+0.15*G22))</f>
        <v/>
      </c>
      <c r="T22" s="5">
        <f>IF(A22="","",2*('WEEKLY INPUT'!P22/90)+(H22*5+I22*3)*('WEEKLY INPUT'!P22/90)+(P22*0.15)*('WEEKLY INPUT'!P22/90)+Q22*0.25)</f>
        <v/>
      </c>
      <c r="U22" s="5">
        <f>IF($A22="","",$T22*(1+($3-'WEEKLY INPUT'!R22)*0.10)*$R22*$S22*1.0)</f>
        <v/>
      </c>
      <c r="V22" s="5">
        <f>IF($A22="","",$T22*(1+($3-'WEEKLY INPUT'!S22)*0.10)*$R22*$S22*0.975)</f>
        <v/>
      </c>
      <c r="W22" s="5">
        <f>IF($A22="","",$T22*(1+($3-'WEEKLY INPUT'!T22)*0.10)*$R22*$S22*0.95)</f>
        <v/>
      </c>
      <c r="X22" s="5">
        <f>IF($A22="","",$T22*(1+($3-'WEEKLY INPUT'!U22)*0.10)*$R22*$S22*0.925)</f>
        <v/>
      </c>
      <c r="Y22" s="5">
        <f>IF($A22="","",$T22*(1+($3-'WEEKLY INPUT'!V22)*0.10)*$R22*$S22*0.9)</f>
        <v/>
      </c>
      <c r="Z22" s="5">
        <f>IF($A22="","",$T22*(1+($3-'WEEKLY INPUT'!W22)*0.10)*$R22*$S22*0.875)</f>
        <v/>
      </c>
      <c r="AA22" s="5">
        <f>IF($A22="","",$T22*(1+($3-'WEEKLY INPUT'!X22)*0.10)*$R22*$S22*0.85)</f>
        <v/>
      </c>
      <c r="AB22" s="5">
        <f>IF($A22="","",$T22*(1+($3-'WEEKLY INPUT'!Y22)*0.10)*$R22*$S22*0.825)</f>
        <v/>
      </c>
      <c r="AC22" s="5">
        <f>SUM(U22:AB22)</f>
        <v/>
      </c>
      <c r="AD22" s="5">
        <f>SUM(U22:Z22)</f>
        <v/>
      </c>
      <c r="AE22" s="5">
        <f>IFERROR(AD22/D22,0)</f>
        <v/>
      </c>
      <c r="AF22" s="5">
        <f>MAX(0,1-R22)</f>
        <v/>
      </c>
      <c r="AG22" s="5">
        <f>IFERROR((H22+I22)*R22*(1+0.10*(3-'WEEKLY INPUT'!R22)),"")</f>
        <v/>
      </c>
      <c r="AH22" s="5">
        <f>IFERROR(AG22/SUMPRODUCT($AG$6:$AG$205),"")</f>
        <v/>
      </c>
      <c r="AI22" s="5">
        <f>IFERROR(AD22*(1-AF22*0.5)*(1+0.15*AE22),0)</f>
        <v/>
      </c>
      <c r="AJ22" s="5">
        <f>IF(A22="","",RANK(AI22,$AI$6:$AI$205,0))</f>
        <v/>
      </c>
      <c r="AK22" s="5">
        <f>IFERROR('WEEKLY INPUT'!Z22,"")</f>
        <v/>
      </c>
    </row>
    <row r="23">
      <c r="A23" s="5">
        <f>IFERROR('WEEKLY INPUT'!A23,"")</f>
        <v/>
      </c>
      <c r="B23" s="5">
        <f>IFERROR('WEEKLY INPUT'!B23,"")</f>
        <v/>
      </c>
      <c r="C23" s="5">
        <f>IFERROR('WEEKLY INPUT'!C23,"")</f>
        <v/>
      </c>
      <c r="D23" s="5">
        <f>IFERROR('WEEKLY INPUT'!D23,0)</f>
        <v/>
      </c>
      <c r="E23" s="5">
        <f>IFERROR('WEEKLY INPUT'!E23,0)</f>
        <v/>
      </c>
      <c r="F23" s="5">
        <f>IFERROR('WEEKLY INPUT'!F23,0)</f>
        <v/>
      </c>
      <c r="G23" s="5">
        <f>IFERROR('WEEKLY INPUT'!Q23,0)</f>
        <v/>
      </c>
      <c r="H23" s="5">
        <f>IFERROR('WEEKLY INPUT'!H23/'WEEKLY INPUT'!F23*90,0)</f>
        <v/>
      </c>
      <c r="I23" s="5">
        <f>IFERROR('WEEKLY INPUT'!I23/'WEEKLY INPUT'!F23*90,0)</f>
        <v/>
      </c>
      <c r="J23" s="5">
        <f>H23+I23</f>
        <v/>
      </c>
      <c r="K23" s="5">
        <f>IFERROR('WEEKLY INPUT'!J23/'WEEKLY INPUT'!F23*90,0)</f>
        <v/>
      </c>
      <c r="L23" s="5">
        <f>IFERROR('WEEKLY INPUT'!K23/'WEEKLY INPUT'!F23*90,0)</f>
        <v/>
      </c>
      <c r="M23" s="5">
        <f>IFERROR('WEEKLY INPUT'!L23/'WEEKLY INPUT'!F23*90,0)</f>
        <v/>
      </c>
      <c r="N23" s="5">
        <f>IFERROR('WEEKLY INPUT'!M23/'WEEKLY INPUT'!F23*90,0)</f>
        <v/>
      </c>
      <c r="O23" s="5">
        <f>IFERROR('WEEKLY INPUT'!N23/'WEEKLY INPUT'!F23*90,0)</f>
        <v/>
      </c>
      <c r="P23" s="5">
        <f>IFERROR('WEEKLY INPUT'!O23/'WEEKLY INPUT'!F23*90,0)</f>
        <v/>
      </c>
      <c r="Q23" s="5">
        <f>IFERROR(('WEEKLY INPUT'!J23*2+'WEEKLY INPUT'!K23*1+'WEEKLY INPUT'!O23*0.2)/'WEEKLY INPUT'!F23,0)</f>
        <v/>
      </c>
      <c r="R23" s="5">
        <f>MAX(0.25,MIN(1.15,(F23/540)*0.5+G23*0.5))</f>
        <v/>
      </c>
      <c r="S23" s="5">
        <f>MAX(0.70,MIN(1.10,0.85+0.15*G23))</f>
        <v/>
      </c>
      <c r="T23" s="5">
        <f>IF(A23="","",2*('WEEKLY INPUT'!P23/90)+(H23*5+I23*3)*('WEEKLY INPUT'!P23/90)+(P23*0.15)*('WEEKLY INPUT'!P23/90)+Q23*0.25)</f>
        <v/>
      </c>
      <c r="U23" s="5">
        <f>IF($A23="","",$T23*(1+($3-'WEEKLY INPUT'!R23)*0.10)*$R23*$S23*1.0)</f>
        <v/>
      </c>
      <c r="V23" s="5">
        <f>IF($A23="","",$T23*(1+($3-'WEEKLY INPUT'!S23)*0.10)*$R23*$S23*0.975)</f>
        <v/>
      </c>
      <c r="W23" s="5">
        <f>IF($A23="","",$T23*(1+($3-'WEEKLY INPUT'!T23)*0.10)*$R23*$S23*0.95)</f>
        <v/>
      </c>
      <c r="X23" s="5">
        <f>IF($A23="","",$T23*(1+($3-'WEEKLY INPUT'!U23)*0.10)*$R23*$S23*0.925)</f>
        <v/>
      </c>
      <c r="Y23" s="5">
        <f>IF($A23="","",$T23*(1+($3-'WEEKLY INPUT'!V23)*0.10)*$R23*$S23*0.9)</f>
        <v/>
      </c>
      <c r="Z23" s="5">
        <f>IF($A23="","",$T23*(1+($3-'WEEKLY INPUT'!W23)*0.10)*$R23*$S23*0.875)</f>
        <v/>
      </c>
      <c r="AA23" s="5">
        <f>IF($A23="","",$T23*(1+($3-'WEEKLY INPUT'!X23)*0.10)*$R23*$S23*0.85)</f>
        <v/>
      </c>
      <c r="AB23" s="5">
        <f>IF($A23="","",$T23*(1+($3-'WEEKLY INPUT'!Y23)*0.10)*$R23*$S23*0.825)</f>
        <v/>
      </c>
      <c r="AC23" s="5">
        <f>SUM(U23:AB23)</f>
        <v/>
      </c>
      <c r="AD23" s="5">
        <f>SUM(U23:Z23)</f>
        <v/>
      </c>
      <c r="AE23" s="5">
        <f>IFERROR(AD23/D23,0)</f>
        <v/>
      </c>
      <c r="AF23" s="5">
        <f>MAX(0,1-R23)</f>
        <v/>
      </c>
      <c r="AG23" s="5">
        <f>IFERROR((H23+I23)*R23*(1+0.10*(3-'WEEKLY INPUT'!R23)),"")</f>
        <v/>
      </c>
      <c r="AH23" s="5">
        <f>IFERROR(AG23/SUMPRODUCT($AG$6:$AG$205),"")</f>
        <v/>
      </c>
      <c r="AI23" s="5">
        <f>IFERROR(AD23*(1-AF23*0.5)*(1+0.15*AE23),0)</f>
        <v/>
      </c>
      <c r="AJ23" s="5">
        <f>IF(A23="","",RANK(AI23,$AI$6:$AI$205,0))</f>
        <v/>
      </c>
      <c r="AK23" s="5">
        <f>IFERROR('WEEKLY INPUT'!Z23,"")</f>
        <v/>
      </c>
    </row>
    <row r="24">
      <c r="A24" s="5">
        <f>IFERROR('WEEKLY INPUT'!A24,"")</f>
        <v/>
      </c>
      <c r="B24" s="5">
        <f>IFERROR('WEEKLY INPUT'!B24,"")</f>
        <v/>
      </c>
      <c r="C24" s="5">
        <f>IFERROR('WEEKLY INPUT'!C24,"")</f>
        <v/>
      </c>
      <c r="D24" s="5">
        <f>IFERROR('WEEKLY INPUT'!D24,0)</f>
        <v/>
      </c>
      <c r="E24" s="5">
        <f>IFERROR('WEEKLY INPUT'!E24,0)</f>
        <v/>
      </c>
      <c r="F24" s="5">
        <f>IFERROR('WEEKLY INPUT'!F24,0)</f>
        <v/>
      </c>
      <c r="G24" s="5">
        <f>IFERROR('WEEKLY INPUT'!Q24,0)</f>
        <v/>
      </c>
      <c r="H24" s="5">
        <f>IFERROR('WEEKLY INPUT'!H24/'WEEKLY INPUT'!F24*90,0)</f>
        <v/>
      </c>
      <c r="I24" s="5">
        <f>IFERROR('WEEKLY INPUT'!I24/'WEEKLY INPUT'!F24*90,0)</f>
        <v/>
      </c>
      <c r="J24" s="5">
        <f>H24+I24</f>
        <v/>
      </c>
      <c r="K24" s="5">
        <f>IFERROR('WEEKLY INPUT'!J24/'WEEKLY INPUT'!F24*90,0)</f>
        <v/>
      </c>
      <c r="L24" s="5">
        <f>IFERROR('WEEKLY INPUT'!K24/'WEEKLY INPUT'!F24*90,0)</f>
        <v/>
      </c>
      <c r="M24" s="5">
        <f>IFERROR('WEEKLY INPUT'!L24/'WEEKLY INPUT'!F24*90,0)</f>
        <v/>
      </c>
      <c r="N24" s="5">
        <f>IFERROR('WEEKLY INPUT'!M24/'WEEKLY INPUT'!F24*90,0)</f>
        <v/>
      </c>
      <c r="O24" s="5">
        <f>IFERROR('WEEKLY INPUT'!N24/'WEEKLY INPUT'!F24*90,0)</f>
        <v/>
      </c>
      <c r="P24" s="5">
        <f>IFERROR('WEEKLY INPUT'!O24/'WEEKLY INPUT'!F24*90,0)</f>
        <v/>
      </c>
      <c r="Q24" s="5">
        <f>IFERROR(('WEEKLY INPUT'!J24*2+'WEEKLY INPUT'!K24*1+'WEEKLY INPUT'!O24*0.2)/'WEEKLY INPUT'!F24,0)</f>
        <v/>
      </c>
      <c r="R24" s="5">
        <f>MAX(0.25,MIN(1.15,(F24/540)*0.5+G24*0.5))</f>
        <v/>
      </c>
      <c r="S24" s="5">
        <f>MAX(0.70,MIN(1.10,0.85+0.15*G24))</f>
        <v/>
      </c>
      <c r="T24" s="5">
        <f>IF(A24="","",2*('WEEKLY INPUT'!P24/90)+(H24*5+I24*3)*('WEEKLY INPUT'!P24/90)+(P24*0.15)*('WEEKLY INPUT'!P24/90)+Q24*0.25)</f>
        <v/>
      </c>
      <c r="U24" s="5">
        <f>IF($A24="","",$T24*(1+($3-'WEEKLY INPUT'!R24)*0.10)*$R24*$S24*1.0)</f>
        <v/>
      </c>
      <c r="V24" s="5">
        <f>IF($A24="","",$T24*(1+($3-'WEEKLY INPUT'!S24)*0.10)*$R24*$S24*0.975)</f>
        <v/>
      </c>
      <c r="W24" s="5">
        <f>IF($A24="","",$T24*(1+($3-'WEEKLY INPUT'!T24)*0.10)*$R24*$S24*0.95)</f>
        <v/>
      </c>
      <c r="X24" s="5">
        <f>IF($A24="","",$T24*(1+($3-'WEEKLY INPUT'!U24)*0.10)*$R24*$S24*0.925)</f>
        <v/>
      </c>
      <c r="Y24" s="5">
        <f>IF($A24="","",$T24*(1+($3-'WEEKLY INPUT'!V24)*0.10)*$R24*$S24*0.9)</f>
        <v/>
      </c>
      <c r="Z24" s="5">
        <f>IF($A24="","",$T24*(1+($3-'WEEKLY INPUT'!W24)*0.10)*$R24*$S24*0.875)</f>
        <v/>
      </c>
      <c r="AA24" s="5">
        <f>IF($A24="","",$T24*(1+($3-'WEEKLY INPUT'!X24)*0.10)*$R24*$S24*0.85)</f>
        <v/>
      </c>
      <c r="AB24" s="5">
        <f>IF($A24="","",$T24*(1+($3-'WEEKLY INPUT'!Y24)*0.10)*$R24*$S24*0.825)</f>
        <v/>
      </c>
      <c r="AC24" s="5">
        <f>SUM(U24:AB24)</f>
        <v/>
      </c>
      <c r="AD24" s="5">
        <f>SUM(U24:Z24)</f>
        <v/>
      </c>
      <c r="AE24" s="5">
        <f>IFERROR(AD24/D24,0)</f>
        <v/>
      </c>
      <c r="AF24" s="5">
        <f>MAX(0,1-R24)</f>
        <v/>
      </c>
      <c r="AG24" s="5">
        <f>IFERROR((H24+I24)*R24*(1+0.10*(3-'WEEKLY INPUT'!R24)),"")</f>
        <v/>
      </c>
      <c r="AH24" s="5">
        <f>IFERROR(AG24/SUMPRODUCT($AG$6:$AG$205),"")</f>
        <v/>
      </c>
      <c r="AI24" s="5">
        <f>IFERROR(AD24*(1-AF24*0.5)*(1+0.15*AE24),0)</f>
        <v/>
      </c>
      <c r="AJ24" s="5">
        <f>IF(A24="","",RANK(AI24,$AI$6:$AI$205,0))</f>
        <v/>
      </c>
      <c r="AK24" s="5">
        <f>IFERROR('WEEKLY INPUT'!Z24,"")</f>
        <v/>
      </c>
    </row>
    <row r="25">
      <c r="A25" s="5">
        <f>IFERROR('WEEKLY INPUT'!A25,"")</f>
        <v/>
      </c>
      <c r="B25" s="5">
        <f>IFERROR('WEEKLY INPUT'!B25,"")</f>
        <v/>
      </c>
      <c r="C25" s="5">
        <f>IFERROR('WEEKLY INPUT'!C25,"")</f>
        <v/>
      </c>
      <c r="D25" s="5">
        <f>IFERROR('WEEKLY INPUT'!D25,0)</f>
        <v/>
      </c>
      <c r="E25" s="5">
        <f>IFERROR('WEEKLY INPUT'!E25,0)</f>
        <v/>
      </c>
      <c r="F25" s="5">
        <f>IFERROR('WEEKLY INPUT'!F25,0)</f>
        <v/>
      </c>
      <c r="G25" s="5">
        <f>IFERROR('WEEKLY INPUT'!Q25,0)</f>
        <v/>
      </c>
      <c r="H25" s="5">
        <f>IFERROR('WEEKLY INPUT'!H25/'WEEKLY INPUT'!F25*90,0)</f>
        <v/>
      </c>
      <c r="I25" s="5">
        <f>IFERROR('WEEKLY INPUT'!I25/'WEEKLY INPUT'!F25*90,0)</f>
        <v/>
      </c>
      <c r="J25" s="5">
        <f>H25+I25</f>
        <v/>
      </c>
      <c r="K25" s="5">
        <f>IFERROR('WEEKLY INPUT'!J25/'WEEKLY INPUT'!F25*90,0)</f>
        <v/>
      </c>
      <c r="L25" s="5">
        <f>IFERROR('WEEKLY INPUT'!K25/'WEEKLY INPUT'!F25*90,0)</f>
        <v/>
      </c>
      <c r="M25" s="5">
        <f>IFERROR('WEEKLY INPUT'!L25/'WEEKLY INPUT'!F25*90,0)</f>
        <v/>
      </c>
      <c r="N25" s="5">
        <f>IFERROR('WEEKLY INPUT'!M25/'WEEKLY INPUT'!F25*90,0)</f>
        <v/>
      </c>
      <c r="O25" s="5">
        <f>IFERROR('WEEKLY INPUT'!N25/'WEEKLY INPUT'!F25*90,0)</f>
        <v/>
      </c>
      <c r="P25" s="5">
        <f>IFERROR('WEEKLY INPUT'!O25/'WEEKLY INPUT'!F25*90,0)</f>
        <v/>
      </c>
      <c r="Q25" s="5">
        <f>IFERROR(('WEEKLY INPUT'!J25*2+'WEEKLY INPUT'!K25*1+'WEEKLY INPUT'!O25*0.2)/'WEEKLY INPUT'!F25,0)</f>
        <v/>
      </c>
      <c r="R25" s="5">
        <f>MAX(0.25,MIN(1.15,(F25/540)*0.5+G25*0.5))</f>
        <v/>
      </c>
      <c r="S25" s="5">
        <f>MAX(0.70,MIN(1.10,0.85+0.15*G25))</f>
        <v/>
      </c>
      <c r="T25" s="5">
        <f>IF(A25="","",2*('WEEKLY INPUT'!P25/90)+(H25*5+I25*3)*('WEEKLY INPUT'!P25/90)+(P25*0.15)*('WEEKLY INPUT'!P25/90)+Q25*0.25)</f>
        <v/>
      </c>
      <c r="U25" s="5">
        <f>IF($A25="","",$T25*(1+($3-'WEEKLY INPUT'!R25)*0.10)*$R25*$S25*1.0)</f>
        <v/>
      </c>
      <c r="V25" s="5">
        <f>IF($A25="","",$T25*(1+($3-'WEEKLY INPUT'!S25)*0.10)*$R25*$S25*0.975)</f>
        <v/>
      </c>
      <c r="W25" s="5">
        <f>IF($A25="","",$T25*(1+($3-'WEEKLY INPUT'!T25)*0.10)*$R25*$S25*0.95)</f>
        <v/>
      </c>
      <c r="X25" s="5">
        <f>IF($A25="","",$T25*(1+($3-'WEEKLY INPUT'!U25)*0.10)*$R25*$S25*0.925)</f>
        <v/>
      </c>
      <c r="Y25" s="5">
        <f>IF($A25="","",$T25*(1+($3-'WEEKLY INPUT'!V25)*0.10)*$R25*$S25*0.9)</f>
        <v/>
      </c>
      <c r="Z25" s="5">
        <f>IF($A25="","",$T25*(1+($3-'WEEKLY INPUT'!W25)*0.10)*$R25*$S25*0.875)</f>
        <v/>
      </c>
      <c r="AA25" s="5">
        <f>IF($A25="","",$T25*(1+($3-'WEEKLY INPUT'!X25)*0.10)*$R25*$S25*0.85)</f>
        <v/>
      </c>
      <c r="AB25" s="5">
        <f>IF($A25="","",$T25*(1+($3-'WEEKLY INPUT'!Y25)*0.10)*$R25*$S25*0.825)</f>
        <v/>
      </c>
      <c r="AC25" s="5">
        <f>SUM(U25:AB25)</f>
        <v/>
      </c>
      <c r="AD25" s="5">
        <f>SUM(U25:Z25)</f>
        <v/>
      </c>
      <c r="AE25" s="5">
        <f>IFERROR(AD25/D25,0)</f>
        <v/>
      </c>
      <c r="AF25" s="5">
        <f>MAX(0,1-R25)</f>
        <v/>
      </c>
      <c r="AG25" s="5">
        <f>IFERROR((H25+I25)*R25*(1+0.10*(3-'WEEKLY INPUT'!R25)),"")</f>
        <v/>
      </c>
      <c r="AH25" s="5">
        <f>IFERROR(AG25/SUMPRODUCT($AG$6:$AG$205),"")</f>
        <v/>
      </c>
      <c r="AI25" s="5">
        <f>IFERROR(AD25*(1-AF25*0.5)*(1+0.15*AE25),0)</f>
        <v/>
      </c>
      <c r="AJ25" s="5">
        <f>IF(A25="","",RANK(AI25,$AI$6:$AI$205,0))</f>
        <v/>
      </c>
      <c r="AK25" s="5">
        <f>IFERROR('WEEKLY INPUT'!Z25,"")</f>
        <v/>
      </c>
    </row>
    <row r="26">
      <c r="A26" s="5">
        <f>IFERROR('WEEKLY INPUT'!A26,"")</f>
        <v/>
      </c>
      <c r="B26" s="5">
        <f>IFERROR('WEEKLY INPUT'!B26,"")</f>
        <v/>
      </c>
      <c r="C26" s="5">
        <f>IFERROR('WEEKLY INPUT'!C26,"")</f>
        <v/>
      </c>
      <c r="D26" s="5">
        <f>IFERROR('WEEKLY INPUT'!D26,0)</f>
        <v/>
      </c>
      <c r="E26" s="5">
        <f>IFERROR('WEEKLY INPUT'!E26,0)</f>
        <v/>
      </c>
      <c r="F26" s="5">
        <f>IFERROR('WEEKLY INPUT'!F26,0)</f>
        <v/>
      </c>
      <c r="G26" s="5">
        <f>IFERROR('WEEKLY INPUT'!Q26,0)</f>
        <v/>
      </c>
      <c r="H26" s="5">
        <f>IFERROR('WEEKLY INPUT'!H26/'WEEKLY INPUT'!F26*90,0)</f>
        <v/>
      </c>
      <c r="I26" s="5">
        <f>IFERROR('WEEKLY INPUT'!I26/'WEEKLY INPUT'!F26*90,0)</f>
        <v/>
      </c>
      <c r="J26" s="5">
        <f>H26+I26</f>
        <v/>
      </c>
      <c r="K26" s="5">
        <f>IFERROR('WEEKLY INPUT'!J26/'WEEKLY INPUT'!F26*90,0)</f>
        <v/>
      </c>
      <c r="L26" s="5">
        <f>IFERROR('WEEKLY INPUT'!K26/'WEEKLY INPUT'!F26*90,0)</f>
        <v/>
      </c>
      <c r="M26" s="5">
        <f>IFERROR('WEEKLY INPUT'!L26/'WEEKLY INPUT'!F26*90,0)</f>
        <v/>
      </c>
      <c r="N26" s="5">
        <f>IFERROR('WEEKLY INPUT'!M26/'WEEKLY INPUT'!F26*90,0)</f>
        <v/>
      </c>
      <c r="O26" s="5">
        <f>IFERROR('WEEKLY INPUT'!N26/'WEEKLY INPUT'!F26*90,0)</f>
        <v/>
      </c>
      <c r="P26" s="5">
        <f>IFERROR('WEEKLY INPUT'!O26/'WEEKLY INPUT'!F26*90,0)</f>
        <v/>
      </c>
      <c r="Q26" s="5">
        <f>IFERROR(('WEEKLY INPUT'!J26*2+'WEEKLY INPUT'!K26*1+'WEEKLY INPUT'!O26*0.2)/'WEEKLY INPUT'!F26,0)</f>
        <v/>
      </c>
      <c r="R26" s="5">
        <f>MAX(0.25,MIN(1.15,(F26/540)*0.5+G26*0.5))</f>
        <v/>
      </c>
      <c r="S26" s="5">
        <f>MAX(0.70,MIN(1.10,0.85+0.15*G26))</f>
        <v/>
      </c>
      <c r="T26" s="5">
        <f>IF(A26="","",2*('WEEKLY INPUT'!P26/90)+(H26*5+I26*3)*('WEEKLY INPUT'!P26/90)+(P26*0.15)*('WEEKLY INPUT'!P26/90)+Q26*0.25)</f>
        <v/>
      </c>
      <c r="U26" s="5">
        <f>IF($A26="","",$T26*(1+($3-'WEEKLY INPUT'!R26)*0.10)*$R26*$S26*1.0)</f>
        <v/>
      </c>
      <c r="V26" s="5">
        <f>IF($A26="","",$T26*(1+($3-'WEEKLY INPUT'!S26)*0.10)*$R26*$S26*0.975)</f>
        <v/>
      </c>
      <c r="W26" s="5">
        <f>IF($A26="","",$T26*(1+($3-'WEEKLY INPUT'!T26)*0.10)*$R26*$S26*0.95)</f>
        <v/>
      </c>
      <c r="X26" s="5">
        <f>IF($A26="","",$T26*(1+($3-'WEEKLY INPUT'!U26)*0.10)*$R26*$S26*0.925)</f>
        <v/>
      </c>
      <c r="Y26" s="5">
        <f>IF($A26="","",$T26*(1+($3-'WEEKLY INPUT'!V26)*0.10)*$R26*$S26*0.9)</f>
        <v/>
      </c>
      <c r="Z26" s="5">
        <f>IF($A26="","",$T26*(1+($3-'WEEKLY INPUT'!W26)*0.10)*$R26*$S26*0.875)</f>
        <v/>
      </c>
      <c r="AA26" s="5">
        <f>IF($A26="","",$T26*(1+($3-'WEEKLY INPUT'!X26)*0.10)*$R26*$S26*0.85)</f>
        <v/>
      </c>
      <c r="AB26" s="5">
        <f>IF($A26="","",$T26*(1+($3-'WEEKLY INPUT'!Y26)*0.10)*$R26*$S26*0.825)</f>
        <v/>
      </c>
      <c r="AC26" s="5">
        <f>SUM(U26:AB26)</f>
        <v/>
      </c>
      <c r="AD26" s="5">
        <f>SUM(U26:Z26)</f>
        <v/>
      </c>
      <c r="AE26" s="5">
        <f>IFERROR(AD26/D26,0)</f>
        <v/>
      </c>
      <c r="AF26" s="5">
        <f>MAX(0,1-R26)</f>
        <v/>
      </c>
      <c r="AG26" s="5">
        <f>IFERROR((H26+I26)*R26*(1+0.10*(3-'WEEKLY INPUT'!R26)),"")</f>
        <v/>
      </c>
      <c r="AH26" s="5">
        <f>IFERROR(AG26/SUMPRODUCT($AG$6:$AG$205),"")</f>
        <v/>
      </c>
      <c r="AI26" s="5">
        <f>IFERROR(AD26*(1-AF26*0.5)*(1+0.15*AE26),0)</f>
        <v/>
      </c>
      <c r="AJ26" s="5">
        <f>IF(A26="","",RANK(AI26,$AI$6:$AI$205,0))</f>
        <v/>
      </c>
      <c r="AK26" s="5">
        <f>IFERROR('WEEKLY INPUT'!Z26,"")</f>
        <v/>
      </c>
    </row>
    <row r="27">
      <c r="A27" s="5">
        <f>IFERROR('WEEKLY INPUT'!A27,"")</f>
        <v/>
      </c>
      <c r="B27" s="5">
        <f>IFERROR('WEEKLY INPUT'!B27,"")</f>
        <v/>
      </c>
      <c r="C27" s="5">
        <f>IFERROR('WEEKLY INPUT'!C27,"")</f>
        <v/>
      </c>
      <c r="D27" s="5">
        <f>IFERROR('WEEKLY INPUT'!D27,0)</f>
        <v/>
      </c>
      <c r="E27" s="5">
        <f>IFERROR('WEEKLY INPUT'!E27,0)</f>
        <v/>
      </c>
      <c r="F27" s="5">
        <f>IFERROR('WEEKLY INPUT'!F27,0)</f>
        <v/>
      </c>
      <c r="G27" s="5">
        <f>IFERROR('WEEKLY INPUT'!Q27,0)</f>
        <v/>
      </c>
      <c r="H27" s="5">
        <f>IFERROR('WEEKLY INPUT'!H27/'WEEKLY INPUT'!F27*90,0)</f>
        <v/>
      </c>
      <c r="I27" s="5">
        <f>IFERROR('WEEKLY INPUT'!I27/'WEEKLY INPUT'!F27*90,0)</f>
        <v/>
      </c>
      <c r="J27" s="5">
        <f>H27+I27</f>
        <v/>
      </c>
      <c r="K27" s="5">
        <f>IFERROR('WEEKLY INPUT'!J27/'WEEKLY INPUT'!F27*90,0)</f>
        <v/>
      </c>
      <c r="L27" s="5">
        <f>IFERROR('WEEKLY INPUT'!K27/'WEEKLY INPUT'!F27*90,0)</f>
        <v/>
      </c>
      <c r="M27" s="5">
        <f>IFERROR('WEEKLY INPUT'!L27/'WEEKLY INPUT'!F27*90,0)</f>
        <v/>
      </c>
      <c r="N27" s="5">
        <f>IFERROR('WEEKLY INPUT'!M27/'WEEKLY INPUT'!F27*90,0)</f>
        <v/>
      </c>
      <c r="O27" s="5">
        <f>IFERROR('WEEKLY INPUT'!N27/'WEEKLY INPUT'!F27*90,0)</f>
        <v/>
      </c>
      <c r="P27" s="5">
        <f>IFERROR('WEEKLY INPUT'!O27/'WEEKLY INPUT'!F27*90,0)</f>
        <v/>
      </c>
      <c r="Q27" s="5">
        <f>IFERROR(('WEEKLY INPUT'!J27*2+'WEEKLY INPUT'!K27*1+'WEEKLY INPUT'!O27*0.2)/'WEEKLY INPUT'!F27,0)</f>
        <v/>
      </c>
      <c r="R27" s="5">
        <f>MAX(0.25,MIN(1.15,(F27/540)*0.5+G27*0.5))</f>
        <v/>
      </c>
      <c r="S27" s="5">
        <f>MAX(0.70,MIN(1.10,0.85+0.15*G27))</f>
        <v/>
      </c>
      <c r="T27" s="5">
        <f>IF(A27="","",2*('WEEKLY INPUT'!P27/90)+(H27*5+I27*3)*('WEEKLY INPUT'!P27/90)+(P27*0.15)*('WEEKLY INPUT'!P27/90)+Q27*0.25)</f>
        <v/>
      </c>
      <c r="U27" s="5">
        <f>IF($A27="","",$T27*(1+($3-'WEEKLY INPUT'!R27)*0.10)*$R27*$S27*1.0)</f>
        <v/>
      </c>
      <c r="V27" s="5">
        <f>IF($A27="","",$T27*(1+($3-'WEEKLY INPUT'!S27)*0.10)*$R27*$S27*0.975)</f>
        <v/>
      </c>
      <c r="W27" s="5">
        <f>IF($A27="","",$T27*(1+($3-'WEEKLY INPUT'!T27)*0.10)*$R27*$S27*0.95)</f>
        <v/>
      </c>
      <c r="X27" s="5">
        <f>IF($A27="","",$T27*(1+($3-'WEEKLY INPUT'!U27)*0.10)*$R27*$S27*0.925)</f>
        <v/>
      </c>
      <c r="Y27" s="5">
        <f>IF($A27="","",$T27*(1+($3-'WEEKLY INPUT'!V27)*0.10)*$R27*$S27*0.9)</f>
        <v/>
      </c>
      <c r="Z27" s="5">
        <f>IF($A27="","",$T27*(1+($3-'WEEKLY INPUT'!W27)*0.10)*$R27*$S27*0.875)</f>
        <v/>
      </c>
      <c r="AA27" s="5">
        <f>IF($A27="","",$T27*(1+($3-'WEEKLY INPUT'!X27)*0.10)*$R27*$S27*0.85)</f>
        <v/>
      </c>
      <c r="AB27" s="5">
        <f>IF($A27="","",$T27*(1+($3-'WEEKLY INPUT'!Y27)*0.10)*$R27*$S27*0.825)</f>
        <v/>
      </c>
      <c r="AC27" s="5">
        <f>SUM(U27:AB27)</f>
        <v/>
      </c>
      <c r="AD27" s="5">
        <f>SUM(U27:Z27)</f>
        <v/>
      </c>
      <c r="AE27" s="5">
        <f>IFERROR(AD27/D27,0)</f>
        <v/>
      </c>
      <c r="AF27" s="5">
        <f>MAX(0,1-R27)</f>
        <v/>
      </c>
      <c r="AG27" s="5">
        <f>IFERROR((H27+I27)*R27*(1+0.10*(3-'WEEKLY INPUT'!R27)),"")</f>
        <v/>
      </c>
      <c r="AH27" s="5">
        <f>IFERROR(AG27/SUMPRODUCT($AG$6:$AG$205),"")</f>
        <v/>
      </c>
      <c r="AI27" s="5">
        <f>IFERROR(AD27*(1-AF27*0.5)*(1+0.15*AE27),0)</f>
        <v/>
      </c>
      <c r="AJ27" s="5">
        <f>IF(A27="","",RANK(AI27,$AI$6:$AI$205,0))</f>
        <v/>
      </c>
      <c r="AK27" s="5">
        <f>IFERROR('WEEKLY INPUT'!Z27,"")</f>
        <v/>
      </c>
    </row>
    <row r="28">
      <c r="A28" s="5">
        <f>IFERROR('WEEKLY INPUT'!A28,"")</f>
        <v/>
      </c>
      <c r="B28" s="5">
        <f>IFERROR('WEEKLY INPUT'!B28,"")</f>
        <v/>
      </c>
      <c r="C28" s="5">
        <f>IFERROR('WEEKLY INPUT'!C28,"")</f>
        <v/>
      </c>
      <c r="D28" s="5">
        <f>IFERROR('WEEKLY INPUT'!D28,0)</f>
        <v/>
      </c>
      <c r="E28" s="5">
        <f>IFERROR('WEEKLY INPUT'!E28,0)</f>
        <v/>
      </c>
      <c r="F28" s="5">
        <f>IFERROR('WEEKLY INPUT'!F28,0)</f>
        <v/>
      </c>
      <c r="G28" s="5">
        <f>IFERROR('WEEKLY INPUT'!Q28,0)</f>
        <v/>
      </c>
      <c r="H28" s="5">
        <f>IFERROR('WEEKLY INPUT'!H28/'WEEKLY INPUT'!F28*90,0)</f>
        <v/>
      </c>
      <c r="I28" s="5">
        <f>IFERROR('WEEKLY INPUT'!I28/'WEEKLY INPUT'!F28*90,0)</f>
        <v/>
      </c>
      <c r="J28" s="5">
        <f>H28+I28</f>
        <v/>
      </c>
      <c r="K28" s="5">
        <f>IFERROR('WEEKLY INPUT'!J28/'WEEKLY INPUT'!F28*90,0)</f>
        <v/>
      </c>
      <c r="L28" s="5">
        <f>IFERROR('WEEKLY INPUT'!K28/'WEEKLY INPUT'!F28*90,0)</f>
        <v/>
      </c>
      <c r="M28" s="5">
        <f>IFERROR('WEEKLY INPUT'!L28/'WEEKLY INPUT'!F28*90,0)</f>
        <v/>
      </c>
      <c r="N28" s="5">
        <f>IFERROR('WEEKLY INPUT'!M28/'WEEKLY INPUT'!F28*90,0)</f>
        <v/>
      </c>
      <c r="O28" s="5">
        <f>IFERROR('WEEKLY INPUT'!N28/'WEEKLY INPUT'!F28*90,0)</f>
        <v/>
      </c>
      <c r="P28" s="5">
        <f>IFERROR('WEEKLY INPUT'!O28/'WEEKLY INPUT'!F28*90,0)</f>
        <v/>
      </c>
      <c r="Q28" s="5">
        <f>IFERROR(('WEEKLY INPUT'!J28*2+'WEEKLY INPUT'!K28*1+'WEEKLY INPUT'!O28*0.2)/'WEEKLY INPUT'!F28,0)</f>
        <v/>
      </c>
      <c r="R28" s="5">
        <f>MAX(0.25,MIN(1.15,(F28/540)*0.5+G28*0.5))</f>
        <v/>
      </c>
      <c r="S28" s="5">
        <f>MAX(0.70,MIN(1.10,0.85+0.15*G28))</f>
        <v/>
      </c>
      <c r="T28" s="5">
        <f>IF(A28="","",2*('WEEKLY INPUT'!P28/90)+(H28*5+I28*3)*('WEEKLY INPUT'!P28/90)+(P28*0.15)*('WEEKLY INPUT'!P28/90)+Q28*0.25)</f>
        <v/>
      </c>
      <c r="U28" s="5">
        <f>IF($A28="","",$T28*(1+($3-'WEEKLY INPUT'!R28)*0.10)*$R28*$S28*1.0)</f>
        <v/>
      </c>
      <c r="V28" s="5">
        <f>IF($A28="","",$T28*(1+($3-'WEEKLY INPUT'!S28)*0.10)*$R28*$S28*0.975)</f>
        <v/>
      </c>
      <c r="W28" s="5">
        <f>IF($A28="","",$T28*(1+($3-'WEEKLY INPUT'!T28)*0.10)*$R28*$S28*0.95)</f>
        <v/>
      </c>
      <c r="X28" s="5">
        <f>IF($A28="","",$T28*(1+($3-'WEEKLY INPUT'!U28)*0.10)*$R28*$S28*0.925)</f>
        <v/>
      </c>
      <c r="Y28" s="5">
        <f>IF($A28="","",$T28*(1+($3-'WEEKLY INPUT'!V28)*0.10)*$R28*$S28*0.9)</f>
        <v/>
      </c>
      <c r="Z28" s="5">
        <f>IF($A28="","",$T28*(1+($3-'WEEKLY INPUT'!W28)*0.10)*$R28*$S28*0.875)</f>
        <v/>
      </c>
      <c r="AA28" s="5">
        <f>IF($A28="","",$T28*(1+($3-'WEEKLY INPUT'!X28)*0.10)*$R28*$S28*0.85)</f>
        <v/>
      </c>
      <c r="AB28" s="5">
        <f>IF($A28="","",$T28*(1+($3-'WEEKLY INPUT'!Y28)*0.10)*$R28*$S28*0.825)</f>
        <v/>
      </c>
      <c r="AC28" s="5">
        <f>SUM(U28:AB28)</f>
        <v/>
      </c>
      <c r="AD28" s="5">
        <f>SUM(U28:Z28)</f>
        <v/>
      </c>
      <c r="AE28" s="5">
        <f>IFERROR(AD28/D28,0)</f>
        <v/>
      </c>
      <c r="AF28" s="5">
        <f>MAX(0,1-R28)</f>
        <v/>
      </c>
      <c r="AG28" s="5">
        <f>IFERROR((H28+I28)*R28*(1+0.10*(3-'WEEKLY INPUT'!R28)),"")</f>
        <v/>
      </c>
      <c r="AH28" s="5">
        <f>IFERROR(AG28/SUMPRODUCT($AG$6:$AG$205),"")</f>
        <v/>
      </c>
      <c r="AI28" s="5">
        <f>IFERROR(AD28*(1-AF28*0.5)*(1+0.15*AE28),0)</f>
        <v/>
      </c>
      <c r="AJ28" s="5">
        <f>IF(A28="","",RANK(AI28,$AI$6:$AI$205,0))</f>
        <v/>
      </c>
      <c r="AK28" s="5">
        <f>IFERROR('WEEKLY INPUT'!Z28,"")</f>
        <v/>
      </c>
    </row>
    <row r="29">
      <c r="A29" s="5">
        <f>IFERROR('WEEKLY INPUT'!A29,"")</f>
        <v/>
      </c>
      <c r="B29" s="5">
        <f>IFERROR('WEEKLY INPUT'!B29,"")</f>
        <v/>
      </c>
      <c r="C29" s="5">
        <f>IFERROR('WEEKLY INPUT'!C29,"")</f>
        <v/>
      </c>
      <c r="D29" s="5">
        <f>IFERROR('WEEKLY INPUT'!D29,0)</f>
        <v/>
      </c>
      <c r="E29" s="5">
        <f>IFERROR('WEEKLY INPUT'!E29,0)</f>
        <v/>
      </c>
      <c r="F29" s="5">
        <f>IFERROR('WEEKLY INPUT'!F29,0)</f>
        <v/>
      </c>
      <c r="G29" s="5">
        <f>IFERROR('WEEKLY INPUT'!Q29,0)</f>
        <v/>
      </c>
      <c r="H29" s="5">
        <f>IFERROR('WEEKLY INPUT'!H29/'WEEKLY INPUT'!F29*90,0)</f>
        <v/>
      </c>
      <c r="I29" s="5">
        <f>IFERROR('WEEKLY INPUT'!I29/'WEEKLY INPUT'!F29*90,0)</f>
        <v/>
      </c>
      <c r="J29" s="5">
        <f>H29+I29</f>
        <v/>
      </c>
      <c r="K29" s="5">
        <f>IFERROR('WEEKLY INPUT'!J29/'WEEKLY INPUT'!F29*90,0)</f>
        <v/>
      </c>
      <c r="L29" s="5">
        <f>IFERROR('WEEKLY INPUT'!K29/'WEEKLY INPUT'!F29*90,0)</f>
        <v/>
      </c>
      <c r="M29" s="5">
        <f>IFERROR('WEEKLY INPUT'!L29/'WEEKLY INPUT'!F29*90,0)</f>
        <v/>
      </c>
      <c r="N29" s="5">
        <f>IFERROR('WEEKLY INPUT'!M29/'WEEKLY INPUT'!F29*90,0)</f>
        <v/>
      </c>
      <c r="O29" s="5">
        <f>IFERROR('WEEKLY INPUT'!N29/'WEEKLY INPUT'!F29*90,0)</f>
        <v/>
      </c>
      <c r="P29" s="5">
        <f>IFERROR('WEEKLY INPUT'!O29/'WEEKLY INPUT'!F29*90,0)</f>
        <v/>
      </c>
      <c r="Q29" s="5">
        <f>IFERROR(('WEEKLY INPUT'!J29*2+'WEEKLY INPUT'!K29*1+'WEEKLY INPUT'!O29*0.2)/'WEEKLY INPUT'!F29,0)</f>
        <v/>
      </c>
      <c r="R29" s="5">
        <f>MAX(0.25,MIN(1.15,(F29/540)*0.5+G29*0.5))</f>
        <v/>
      </c>
      <c r="S29" s="5">
        <f>MAX(0.70,MIN(1.10,0.85+0.15*G29))</f>
        <v/>
      </c>
      <c r="T29" s="5">
        <f>IF(A29="","",2*('WEEKLY INPUT'!P29/90)+(H29*5+I29*3)*('WEEKLY INPUT'!P29/90)+(P29*0.15)*('WEEKLY INPUT'!P29/90)+Q29*0.25)</f>
        <v/>
      </c>
      <c r="U29" s="5">
        <f>IF($A29="","",$T29*(1+($3-'WEEKLY INPUT'!R29)*0.10)*$R29*$S29*1.0)</f>
        <v/>
      </c>
      <c r="V29" s="5">
        <f>IF($A29="","",$T29*(1+($3-'WEEKLY INPUT'!S29)*0.10)*$R29*$S29*0.975)</f>
        <v/>
      </c>
      <c r="W29" s="5">
        <f>IF($A29="","",$T29*(1+($3-'WEEKLY INPUT'!T29)*0.10)*$R29*$S29*0.95)</f>
        <v/>
      </c>
      <c r="X29" s="5">
        <f>IF($A29="","",$T29*(1+($3-'WEEKLY INPUT'!U29)*0.10)*$R29*$S29*0.925)</f>
        <v/>
      </c>
      <c r="Y29" s="5">
        <f>IF($A29="","",$T29*(1+($3-'WEEKLY INPUT'!V29)*0.10)*$R29*$S29*0.9)</f>
        <v/>
      </c>
      <c r="Z29" s="5">
        <f>IF($A29="","",$T29*(1+($3-'WEEKLY INPUT'!W29)*0.10)*$R29*$S29*0.875)</f>
        <v/>
      </c>
      <c r="AA29" s="5">
        <f>IF($A29="","",$T29*(1+($3-'WEEKLY INPUT'!X29)*0.10)*$R29*$S29*0.85)</f>
        <v/>
      </c>
      <c r="AB29" s="5">
        <f>IF($A29="","",$T29*(1+($3-'WEEKLY INPUT'!Y29)*0.10)*$R29*$S29*0.825)</f>
        <v/>
      </c>
      <c r="AC29" s="5">
        <f>SUM(U29:AB29)</f>
        <v/>
      </c>
      <c r="AD29" s="5">
        <f>SUM(U29:Z29)</f>
        <v/>
      </c>
      <c r="AE29" s="5">
        <f>IFERROR(AD29/D29,0)</f>
        <v/>
      </c>
      <c r="AF29" s="5">
        <f>MAX(0,1-R29)</f>
        <v/>
      </c>
      <c r="AG29" s="5">
        <f>IFERROR((H29+I29)*R29*(1+0.10*(3-'WEEKLY INPUT'!R29)),"")</f>
        <v/>
      </c>
      <c r="AH29" s="5">
        <f>IFERROR(AG29/SUMPRODUCT($AG$6:$AG$205),"")</f>
        <v/>
      </c>
      <c r="AI29" s="5">
        <f>IFERROR(AD29*(1-AF29*0.5)*(1+0.15*AE29),0)</f>
        <v/>
      </c>
      <c r="AJ29" s="5">
        <f>IF(A29="","",RANK(AI29,$AI$6:$AI$205,0))</f>
        <v/>
      </c>
      <c r="AK29" s="5">
        <f>IFERROR('WEEKLY INPUT'!Z29,"")</f>
        <v/>
      </c>
    </row>
    <row r="30">
      <c r="A30" s="5">
        <f>IFERROR('WEEKLY INPUT'!A30,"")</f>
        <v/>
      </c>
      <c r="B30" s="5">
        <f>IFERROR('WEEKLY INPUT'!B30,"")</f>
        <v/>
      </c>
      <c r="C30" s="5">
        <f>IFERROR('WEEKLY INPUT'!C30,"")</f>
        <v/>
      </c>
      <c r="D30" s="5">
        <f>IFERROR('WEEKLY INPUT'!D30,0)</f>
        <v/>
      </c>
      <c r="E30" s="5">
        <f>IFERROR('WEEKLY INPUT'!E30,0)</f>
        <v/>
      </c>
      <c r="F30" s="5">
        <f>IFERROR('WEEKLY INPUT'!F30,0)</f>
        <v/>
      </c>
      <c r="G30" s="5">
        <f>IFERROR('WEEKLY INPUT'!Q30,0)</f>
        <v/>
      </c>
      <c r="H30" s="5">
        <f>IFERROR('WEEKLY INPUT'!H30/'WEEKLY INPUT'!F30*90,0)</f>
        <v/>
      </c>
      <c r="I30" s="5">
        <f>IFERROR('WEEKLY INPUT'!I30/'WEEKLY INPUT'!F30*90,0)</f>
        <v/>
      </c>
      <c r="J30" s="5">
        <f>H30+I30</f>
        <v/>
      </c>
      <c r="K30" s="5">
        <f>IFERROR('WEEKLY INPUT'!J30/'WEEKLY INPUT'!F30*90,0)</f>
        <v/>
      </c>
      <c r="L30" s="5">
        <f>IFERROR('WEEKLY INPUT'!K30/'WEEKLY INPUT'!F30*90,0)</f>
        <v/>
      </c>
      <c r="M30" s="5">
        <f>IFERROR('WEEKLY INPUT'!L30/'WEEKLY INPUT'!F30*90,0)</f>
        <v/>
      </c>
      <c r="N30" s="5">
        <f>IFERROR('WEEKLY INPUT'!M30/'WEEKLY INPUT'!F30*90,0)</f>
        <v/>
      </c>
      <c r="O30" s="5">
        <f>IFERROR('WEEKLY INPUT'!N30/'WEEKLY INPUT'!F30*90,0)</f>
        <v/>
      </c>
      <c r="P30" s="5">
        <f>IFERROR('WEEKLY INPUT'!O30/'WEEKLY INPUT'!F30*90,0)</f>
        <v/>
      </c>
      <c r="Q30" s="5">
        <f>IFERROR(('WEEKLY INPUT'!J30*2+'WEEKLY INPUT'!K30*1+'WEEKLY INPUT'!O30*0.2)/'WEEKLY INPUT'!F30,0)</f>
        <v/>
      </c>
      <c r="R30" s="5">
        <f>MAX(0.25,MIN(1.15,(F30/540)*0.5+G30*0.5))</f>
        <v/>
      </c>
      <c r="S30" s="5">
        <f>MAX(0.70,MIN(1.10,0.85+0.15*G30))</f>
        <v/>
      </c>
      <c r="T30" s="5">
        <f>IF(A30="","",2*('WEEKLY INPUT'!P30/90)+(H30*5+I30*3)*('WEEKLY INPUT'!P30/90)+(P30*0.15)*('WEEKLY INPUT'!P30/90)+Q30*0.25)</f>
        <v/>
      </c>
      <c r="U30" s="5">
        <f>IF($A30="","",$T30*(1+($3-'WEEKLY INPUT'!R30)*0.10)*$R30*$S30*1.0)</f>
        <v/>
      </c>
      <c r="V30" s="5">
        <f>IF($A30="","",$T30*(1+($3-'WEEKLY INPUT'!S30)*0.10)*$R30*$S30*0.975)</f>
        <v/>
      </c>
      <c r="W30" s="5">
        <f>IF($A30="","",$T30*(1+($3-'WEEKLY INPUT'!T30)*0.10)*$R30*$S30*0.95)</f>
        <v/>
      </c>
      <c r="X30" s="5">
        <f>IF($A30="","",$T30*(1+($3-'WEEKLY INPUT'!U30)*0.10)*$R30*$S30*0.925)</f>
        <v/>
      </c>
      <c r="Y30" s="5">
        <f>IF($A30="","",$T30*(1+($3-'WEEKLY INPUT'!V30)*0.10)*$R30*$S30*0.9)</f>
        <v/>
      </c>
      <c r="Z30" s="5">
        <f>IF($A30="","",$T30*(1+($3-'WEEKLY INPUT'!W30)*0.10)*$R30*$S30*0.875)</f>
        <v/>
      </c>
      <c r="AA30" s="5">
        <f>IF($A30="","",$T30*(1+($3-'WEEKLY INPUT'!X30)*0.10)*$R30*$S30*0.85)</f>
        <v/>
      </c>
      <c r="AB30" s="5">
        <f>IF($A30="","",$T30*(1+($3-'WEEKLY INPUT'!Y30)*0.10)*$R30*$S30*0.825)</f>
        <v/>
      </c>
      <c r="AC30" s="5">
        <f>SUM(U30:AB30)</f>
        <v/>
      </c>
      <c r="AD30" s="5">
        <f>SUM(U30:Z30)</f>
        <v/>
      </c>
      <c r="AE30" s="5">
        <f>IFERROR(AD30/D30,0)</f>
        <v/>
      </c>
      <c r="AF30" s="5">
        <f>MAX(0,1-R30)</f>
        <v/>
      </c>
      <c r="AG30" s="5">
        <f>IFERROR((H30+I30)*R30*(1+0.10*(3-'WEEKLY INPUT'!R30)),"")</f>
        <v/>
      </c>
      <c r="AH30" s="5">
        <f>IFERROR(AG30/SUMPRODUCT($AG$6:$AG$205),"")</f>
        <v/>
      </c>
      <c r="AI30" s="5">
        <f>IFERROR(AD30*(1-AF30*0.5)*(1+0.15*AE30),0)</f>
        <v/>
      </c>
      <c r="AJ30" s="5">
        <f>IF(A30="","",RANK(AI30,$AI$6:$AI$205,0))</f>
        <v/>
      </c>
      <c r="AK30" s="5">
        <f>IFERROR('WEEKLY INPUT'!Z30,"")</f>
        <v/>
      </c>
    </row>
    <row r="31">
      <c r="A31" s="5">
        <f>IFERROR('WEEKLY INPUT'!A31,"")</f>
        <v/>
      </c>
      <c r="B31" s="5">
        <f>IFERROR('WEEKLY INPUT'!B31,"")</f>
        <v/>
      </c>
      <c r="C31" s="5">
        <f>IFERROR('WEEKLY INPUT'!C31,"")</f>
        <v/>
      </c>
      <c r="D31" s="5">
        <f>IFERROR('WEEKLY INPUT'!D31,0)</f>
        <v/>
      </c>
      <c r="E31" s="5">
        <f>IFERROR('WEEKLY INPUT'!E31,0)</f>
        <v/>
      </c>
      <c r="F31" s="5">
        <f>IFERROR('WEEKLY INPUT'!F31,0)</f>
        <v/>
      </c>
      <c r="G31" s="5">
        <f>IFERROR('WEEKLY INPUT'!Q31,0)</f>
        <v/>
      </c>
      <c r="H31" s="5">
        <f>IFERROR('WEEKLY INPUT'!H31/'WEEKLY INPUT'!F31*90,0)</f>
        <v/>
      </c>
      <c r="I31" s="5">
        <f>IFERROR('WEEKLY INPUT'!I31/'WEEKLY INPUT'!F31*90,0)</f>
        <v/>
      </c>
      <c r="J31" s="5">
        <f>H31+I31</f>
        <v/>
      </c>
      <c r="K31" s="5">
        <f>IFERROR('WEEKLY INPUT'!J31/'WEEKLY INPUT'!F31*90,0)</f>
        <v/>
      </c>
      <c r="L31" s="5">
        <f>IFERROR('WEEKLY INPUT'!K31/'WEEKLY INPUT'!F31*90,0)</f>
        <v/>
      </c>
      <c r="M31" s="5">
        <f>IFERROR('WEEKLY INPUT'!L31/'WEEKLY INPUT'!F31*90,0)</f>
        <v/>
      </c>
      <c r="N31" s="5">
        <f>IFERROR('WEEKLY INPUT'!M31/'WEEKLY INPUT'!F31*90,0)</f>
        <v/>
      </c>
      <c r="O31" s="5">
        <f>IFERROR('WEEKLY INPUT'!N31/'WEEKLY INPUT'!F31*90,0)</f>
        <v/>
      </c>
      <c r="P31" s="5">
        <f>IFERROR('WEEKLY INPUT'!O31/'WEEKLY INPUT'!F31*90,0)</f>
        <v/>
      </c>
      <c r="Q31" s="5">
        <f>IFERROR(('WEEKLY INPUT'!J31*2+'WEEKLY INPUT'!K31*1+'WEEKLY INPUT'!O31*0.2)/'WEEKLY INPUT'!F31,0)</f>
        <v/>
      </c>
      <c r="R31" s="5">
        <f>MAX(0.25,MIN(1.15,(F31/540)*0.5+G31*0.5))</f>
        <v/>
      </c>
      <c r="S31" s="5">
        <f>MAX(0.70,MIN(1.10,0.85+0.15*G31))</f>
        <v/>
      </c>
      <c r="T31" s="5">
        <f>IF(A31="","",2*('WEEKLY INPUT'!P31/90)+(H31*5+I31*3)*('WEEKLY INPUT'!P31/90)+(P31*0.15)*('WEEKLY INPUT'!P31/90)+Q31*0.25)</f>
        <v/>
      </c>
      <c r="U31" s="5">
        <f>IF($A31="","",$T31*(1+($3-'WEEKLY INPUT'!R31)*0.10)*$R31*$S31*1.0)</f>
        <v/>
      </c>
      <c r="V31" s="5">
        <f>IF($A31="","",$T31*(1+($3-'WEEKLY INPUT'!S31)*0.10)*$R31*$S31*0.975)</f>
        <v/>
      </c>
      <c r="W31" s="5">
        <f>IF($A31="","",$T31*(1+($3-'WEEKLY INPUT'!T31)*0.10)*$R31*$S31*0.95)</f>
        <v/>
      </c>
      <c r="X31" s="5">
        <f>IF($A31="","",$T31*(1+($3-'WEEKLY INPUT'!U31)*0.10)*$R31*$S31*0.925)</f>
        <v/>
      </c>
      <c r="Y31" s="5">
        <f>IF($A31="","",$T31*(1+($3-'WEEKLY INPUT'!V31)*0.10)*$R31*$S31*0.9)</f>
        <v/>
      </c>
      <c r="Z31" s="5">
        <f>IF($A31="","",$T31*(1+($3-'WEEKLY INPUT'!W31)*0.10)*$R31*$S31*0.875)</f>
        <v/>
      </c>
      <c r="AA31" s="5">
        <f>IF($A31="","",$T31*(1+($3-'WEEKLY INPUT'!X31)*0.10)*$R31*$S31*0.85)</f>
        <v/>
      </c>
      <c r="AB31" s="5">
        <f>IF($A31="","",$T31*(1+($3-'WEEKLY INPUT'!Y31)*0.10)*$R31*$S31*0.825)</f>
        <v/>
      </c>
      <c r="AC31" s="5">
        <f>SUM(U31:AB31)</f>
        <v/>
      </c>
      <c r="AD31" s="5">
        <f>SUM(U31:Z31)</f>
        <v/>
      </c>
      <c r="AE31" s="5">
        <f>IFERROR(AD31/D31,0)</f>
        <v/>
      </c>
      <c r="AF31" s="5">
        <f>MAX(0,1-R31)</f>
        <v/>
      </c>
      <c r="AG31" s="5">
        <f>IFERROR((H31+I31)*R31*(1+0.10*(3-'WEEKLY INPUT'!R31)),"")</f>
        <v/>
      </c>
      <c r="AH31" s="5">
        <f>IFERROR(AG31/SUMPRODUCT($AG$6:$AG$205),"")</f>
        <v/>
      </c>
      <c r="AI31" s="5">
        <f>IFERROR(AD31*(1-AF31*0.5)*(1+0.15*AE31),0)</f>
        <v/>
      </c>
      <c r="AJ31" s="5">
        <f>IF(A31="","",RANK(AI31,$AI$6:$AI$205,0))</f>
        <v/>
      </c>
      <c r="AK31" s="5">
        <f>IFERROR('WEEKLY INPUT'!Z31,"")</f>
        <v/>
      </c>
    </row>
    <row r="32">
      <c r="A32" s="5">
        <f>IFERROR('WEEKLY INPUT'!A32,"")</f>
        <v/>
      </c>
      <c r="B32" s="5">
        <f>IFERROR('WEEKLY INPUT'!B32,"")</f>
        <v/>
      </c>
      <c r="C32" s="5">
        <f>IFERROR('WEEKLY INPUT'!C32,"")</f>
        <v/>
      </c>
      <c r="D32" s="5">
        <f>IFERROR('WEEKLY INPUT'!D32,0)</f>
        <v/>
      </c>
      <c r="E32" s="5">
        <f>IFERROR('WEEKLY INPUT'!E32,0)</f>
        <v/>
      </c>
      <c r="F32" s="5">
        <f>IFERROR('WEEKLY INPUT'!F32,0)</f>
        <v/>
      </c>
      <c r="G32" s="5">
        <f>IFERROR('WEEKLY INPUT'!Q32,0)</f>
        <v/>
      </c>
      <c r="H32" s="5">
        <f>IFERROR('WEEKLY INPUT'!H32/'WEEKLY INPUT'!F32*90,0)</f>
        <v/>
      </c>
      <c r="I32" s="5">
        <f>IFERROR('WEEKLY INPUT'!I32/'WEEKLY INPUT'!F32*90,0)</f>
        <v/>
      </c>
      <c r="J32" s="5">
        <f>H32+I32</f>
        <v/>
      </c>
      <c r="K32" s="5">
        <f>IFERROR('WEEKLY INPUT'!J32/'WEEKLY INPUT'!F32*90,0)</f>
        <v/>
      </c>
      <c r="L32" s="5">
        <f>IFERROR('WEEKLY INPUT'!K32/'WEEKLY INPUT'!F32*90,0)</f>
        <v/>
      </c>
      <c r="M32" s="5">
        <f>IFERROR('WEEKLY INPUT'!L32/'WEEKLY INPUT'!F32*90,0)</f>
        <v/>
      </c>
      <c r="N32" s="5">
        <f>IFERROR('WEEKLY INPUT'!M32/'WEEKLY INPUT'!F32*90,0)</f>
        <v/>
      </c>
      <c r="O32" s="5">
        <f>IFERROR('WEEKLY INPUT'!N32/'WEEKLY INPUT'!F32*90,0)</f>
        <v/>
      </c>
      <c r="P32" s="5">
        <f>IFERROR('WEEKLY INPUT'!O32/'WEEKLY INPUT'!F32*90,0)</f>
        <v/>
      </c>
      <c r="Q32" s="5">
        <f>IFERROR(('WEEKLY INPUT'!J32*2+'WEEKLY INPUT'!K32*1+'WEEKLY INPUT'!O32*0.2)/'WEEKLY INPUT'!F32,0)</f>
        <v/>
      </c>
      <c r="R32" s="5">
        <f>MAX(0.25,MIN(1.15,(F32/540)*0.5+G32*0.5))</f>
        <v/>
      </c>
      <c r="S32" s="5">
        <f>MAX(0.70,MIN(1.10,0.85+0.15*G32))</f>
        <v/>
      </c>
      <c r="T32" s="5">
        <f>IF(A32="","",2*('WEEKLY INPUT'!P32/90)+(H32*5+I32*3)*('WEEKLY INPUT'!P32/90)+(P32*0.15)*('WEEKLY INPUT'!P32/90)+Q32*0.25)</f>
        <v/>
      </c>
      <c r="U32" s="5">
        <f>IF($A32="","",$T32*(1+($3-'WEEKLY INPUT'!R32)*0.10)*$R32*$S32*1.0)</f>
        <v/>
      </c>
      <c r="V32" s="5">
        <f>IF($A32="","",$T32*(1+($3-'WEEKLY INPUT'!S32)*0.10)*$R32*$S32*0.975)</f>
        <v/>
      </c>
      <c r="W32" s="5">
        <f>IF($A32="","",$T32*(1+($3-'WEEKLY INPUT'!T32)*0.10)*$R32*$S32*0.95)</f>
        <v/>
      </c>
      <c r="X32" s="5">
        <f>IF($A32="","",$T32*(1+($3-'WEEKLY INPUT'!U32)*0.10)*$R32*$S32*0.925)</f>
        <v/>
      </c>
      <c r="Y32" s="5">
        <f>IF($A32="","",$T32*(1+($3-'WEEKLY INPUT'!V32)*0.10)*$R32*$S32*0.9)</f>
        <v/>
      </c>
      <c r="Z32" s="5">
        <f>IF($A32="","",$T32*(1+($3-'WEEKLY INPUT'!W32)*0.10)*$R32*$S32*0.875)</f>
        <v/>
      </c>
      <c r="AA32" s="5">
        <f>IF($A32="","",$T32*(1+($3-'WEEKLY INPUT'!X32)*0.10)*$R32*$S32*0.85)</f>
        <v/>
      </c>
      <c r="AB32" s="5">
        <f>IF($A32="","",$T32*(1+($3-'WEEKLY INPUT'!Y32)*0.10)*$R32*$S32*0.825)</f>
        <v/>
      </c>
      <c r="AC32" s="5">
        <f>SUM(U32:AB32)</f>
        <v/>
      </c>
      <c r="AD32" s="5">
        <f>SUM(U32:Z32)</f>
        <v/>
      </c>
      <c r="AE32" s="5">
        <f>IFERROR(AD32/D32,0)</f>
        <v/>
      </c>
      <c r="AF32" s="5">
        <f>MAX(0,1-R32)</f>
        <v/>
      </c>
      <c r="AG32" s="5">
        <f>IFERROR((H32+I32)*R32*(1+0.10*(3-'WEEKLY INPUT'!R32)),"")</f>
        <v/>
      </c>
      <c r="AH32" s="5">
        <f>IFERROR(AG32/SUMPRODUCT($AG$6:$AG$205),"")</f>
        <v/>
      </c>
      <c r="AI32" s="5">
        <f>IFERROR(AD32*(1-AF32*0.5)*(1+0.15*AE32),0)</f>
        <v/>
      </c>
      <c r="AJ32" s="5">
        <f>IF(A32="","",RANK(AI32,$AI$6:$AI$205,0))</f>
        <v/>
      </c>
      <c r="AK32" s="5">
        <f>IFERROR('WEEKLY INPUT'!Z32,"")</f>
        <v/>
      </c>
    </row>
    <row r="33">
      <c r="A33" s="5">
        <f>IFERROR('WEEKLY INPUT'!A33,"")</f>
        <v/>
      </c>
      <c r="B33" s="5">
        <f>IFERROR('WEEKLY INPUT'!B33,"")</f>
        <v/>
      </c>
      <c r="C33" s="5">
        <f>IFERROR('WEEKLY INPUT'!C33,"")</f>
        <v/>
      </c>
      <c r="D33" s="5">
        <f>IFERROR('WEEKLY INPUT'!D33,0)</f>
        <v/>
      </c>
      <c r="E33" s="5">
        <f>IFERROR('WEEKLY INPUT'!E33,0)</f>
        <v/>
      </c>
      <c r="F33" s="5">
        <f>IFERROR('WEEKLY INPUT'!F33,0)</f>
        <v/>
      </c>
      <c r="G33" s="5">
        <f>IFERROR('WEEKLY INPUT'!Q33,0)</f>
        <v/>
      </c>
      <c r="H33" s="5">
        <f>IFERROR('WEEKLY INPUT'!H33/'WEEKLY INPUT'!F33*90,0)</f>
        <v/>
      </c>
      <c r="I33" s="5">
        <f>IFERROR('WEEKLY INPUT'!I33/'WEEKLY INPUT'!F33*90,0)</f>
        <v/>
      </c>
      <c r="J33" s="5">
        <f>H33+I33</f>
        <v/>
      </c>
      <c r="K33" s="5">
        <f>IFERROR('WEEKLY INPUT'!J33/'WEEKLY INPUT'!F33*90,0)</f>
        <v/>
      </c>
      <c r="L33" s="5">
        <f>IFERROR('WEEKLY INPUT'!K33/'WEEKLY INPUT'!F33*90,0)</f>
        <v/>
      </c>
      <c r="M33" s="5">
        <f>IFERROR('WEEKLY INPUT'!L33/'WEEKLY INPUT'!F33*90,0)</f>
        <v/>
      </c>
      <c r="N33" s="5">
        <f>IFERROR('WEEKLY INPUT'!M33/'WEEKLY INPUT'!F33*90,0)</f>
        <v/>
      </c>
      <c r="O33" s="5">
        <f>IFERROR('WEEKLY INPUT'!N33/'WEEKLY INPUT'!F33*90,0)</f>
        <v/>
      </c>
      <c r="P33" s="5">
        <f>IFERROR('WEEKLY INPUT'!O33/'WEEKLY INPUT'!F33*90,0)</f>
        <v/>
      </c>
      <c r="Q33" s="5">
        <f>IFERROR(('WEEKLY INPUT'!J33*2+'WEEKLY INPUT'!K33*1+'WEEKLY INPUT'!O33*0.2)/'WEEKLY INPUT'!F33,0)</f>
        <v/>
      </c>
      <c r="R33" s="5">
        <f>MAX(0.25,MIN(1.15,(F33/540)*0.5+G33*0.5))</f>
        <v/>
      </c>
      <c r="S33" s="5">
        <f>MAX(0.70,MIN(1.10,0.85+0.15*G33))</f>
        <v/>
      </c>
      <c r="T33" s="5">
        <f>IF(A33="","",2*('WEEKLY INPUT'!P33/90)+(H33*5+I33*3)*('WEEKLY INPUT'!P33/90)+(P33*0.15)*('WEEKLY INPUT'!P33/90)+Q33*0.25)</f>
        <v/>
      </c>
      <c r="U33" s="5">
        <f>IF($A33="","",$T33*(1+($3-'WEEKLY INPUT'!R33)*0.10)*$R33*$S33*1.0)</f>
        <v/>
      </c>
      <c r="V33" s="5">
        <f>IF($A33="","",$T33*(1+($3-'WEEKLY INPUT'!S33)*0.10)*$R33*$S33*0.975)</f>
        <v/>
      </c>
      <c r="W33" s="5">
        <f>IF($A33="","",$T33*(1+($3-'WEEKLY INPUT'!T33)*0.10)*$R33*$S33*0.95)</f>
        <v/>
      </c>
      <c r="X33" s="5">
        <f>IF($A33="","",$T33*(1+($3-'WEEKLY INPUT'!U33)*0.10)*$R33*$S33*0.925)</f>
        <v/>
      </c>
      <c r="Y33" s="5">
        <f>IF($A33="","",$T33*(1+($3-'WEEKLY INPUT'!V33)*0.10)*$R33*$S33*0.9)</f>
        <v/>
      </c>
      <c r="Z33" s="5">
        <f>IF($A33="","",$T33*(1+($3-'WEEKLY INPUT'!W33)*0.10)*$R33*$S33*0.875)</f>
        <v/>
      </c>
      <c r="AA33" s="5">
        <f>IF($A33="","",$T33*(1+($3-'WEEKLY INPUT'!X33)*0.10)*$R33*$S33*0.85)</f>
        <v/>
      </c>
      <c r="AB33" s="5">
        <f>IF($A33="","",$T33*(1+($3-'WEEKLY INPUT'!Y33)*0.10)*$R33*$S33*0.825)</f>
        <v/>
      </c>
      <c r="AC33" s="5">
        <f>SUM(U33:AB33)</f>
        <v/>
      </c>
      <c r="AD33" s="5">
        <f>SUM(U33:Z33)</f>
        <v/>
      </c>
      <c r="AE33" s="5">
        <f>IFERROR(AD33/D33,0)</f>
        <v/>
      </c>
      <c r="AF33" s="5">
        <f>MAX(0,1-R33)</f>
        <v/>
      </c>
      <c r="AG33" s="5">
        <f>IFERROR((H33+I33)*R33*(1+0.10*(3-'WEEKLY INPUT'!R33)),"")</f>
        <v/>
      </c>
      <c r="AH33" s="5">
        <f>IFERROR(AG33/SUMPRODUCT($AG$6:$AG$205),"")</f>
        <v/>
      </c>
      <c r="AI33" s="5">
        <f>IFERROR(AD33*(1-AF33*0.5)*(1+0.15*AE33),0)</f>
        <v/>
      </c>
      <c r="AJ33" s="5">
        <f>IF(A33="","",RANK(AI33,$AI$6:$AI$205,0))</f>
        <v/>
      </c>
      <c r="AK33" s="5">
        <f>IFERROR('WEEKLY INPUT'!Z33,"")</f>
        <v/>
      </c>
    </row>
    <row r="34">
      <c r="A34" s="5">
        <f>IFERROR('WEEKLY INPUT'!A34,"")</f>
        <v/>
      </c>
      <c r="B34" s="5">
        <f>IFERROR('WEEKLY INPUT'!B34,"")</f>
        <v/>
      </c>
      <c r="C34" s="5">
        <f>IFERROR('WEEKLY INPUT'!C34,"")</f>
        <v/>
      </c>
      <c r="D34" s="5">
        <f>IFERROR('WEEKLY INPUT'!D34,0)</f>
        <v/>
      </c>
      <c r="E34" s="5">
        <f>IFERROR('WEEKLY INPUT'!E34,0)</f>
        <v/>
      </c>
      <c r="F34" s="5">
        <f>IFERROR('WEEKLY INPUT'!F34,0)</f>
        <v/>
      </c>
      <c r="G34" s="5">
        <f>IFERROR('WEEKLY INPUT'!Q34,0)</f>
        <v/>
      </c>
      <c r="H34" s="5">
        <f>IFERROR('WEEKLY INPUT'!H34/'WEEKLY INPUT'!F34*90,0)</f>
        <v/>
      </c>
      <c r="I34" s="5">
        <f>IFERROR('WEEKLY INPUT'!I34/'WEEKLY INPUT'!F34*90,0)</f>
        <v/>
      </c>
      <c r="J34" s="5">
        <f>H34+I34</f>
        <v/>
      </c>
      <c r="K34" s="5">
        <f>IFERROR('WEEKLY INPUT'!J34/'WEEKLY INPUT'!F34*90,0)</f>
        <v/>
      </c>
      <c r="L34" s="5">
        <f>IFERROR('WEEKLY INPUT'!K34/'WEEKLY INPUT'!F34*90,0)</f>
        <v/>
      </c>
      <c r="M34" s="5">
        <f>IFERROR('WEEKLY INPUT'!L34/'WEEKLY INPUT'!F34*90,0)</f>
        <v/>
      </c>
      <c r="N34" s="5">
        <f>IFERROR('WEEKLY INPUT'!M34/'WEEKLY INPUT'!F34*90,0)</f>
        <v/>
      </c>
      <c r="O34" s="5">
        <f>IFERROR('WEEKLY INPUT'!N34/'WEEKLY INPUT'!F34*90,0)</f>
        <v/>
      </c>
      <c r="P34" s="5">
        <f>IFERROR('WEEKLY INPUT'!O34/'WEEKLY INPUT'!F34*90,0)</f>
        <v/>
      </c>
      <c r="Q34" s="5">
        <f>IFERROR(('WEEKLY INPUT'!J34*2+'WEEKLY INPUT'!K34*1+'WEEKLY INPUT'!O34*0.2)/'WEEKLY INPUT'!F34,0)</f>
        <v/>
      </c>
      <c r="R34" s="5">
        <f>MAX(0.25,MIN(1.15,(F34/540)*0.5+G34*0.5))</f>
        <v/>
      </c>
      <c r="S34" s="5">
        <f>MAX(0.70,MIN(1.10,0.85+0.15*G34))</f>
        <v/>
      </c>
      <c r="T34" s="5">
        <f>IF(A34="","",2*('WEEKLY INPUT'!P34/90)+(H34*5+I34*3)*('WEEKLY INPUT'!P34/90)+(P34*0.15)*('WEEKLY INPUT'!P34/90)+Q34*0.25)</f>
        <v/>
      </c>
      <c r="U34" s="5">
        <f>IF($A34="","",$T34*(1+($3-'WEEKLY INPUT'!R34)*0.10)*$R34*$S34*1.0)</f>
        <v/>
      </c>
      <c r="V34" s="5">
        <f>IF($A34="","",$T34*(1+($3-'WEEKLY INPUT'!S34)*0.10)*$R34*$S34*0.975)</f>
        <v/>
      </c>
      <c r="W34" s="5">
        <f>IF($A34="","",$T34*(1+($3-'WEEKLY INPUT'!T34)*0.10)*$R34*$S34*0.95)</f>
        <v/>
      </c>
      <c r="X34" s="5">
        <f>IF($A34="","",$T34*(1+($3-'WEEKLY INPUT'!U34)*0.10)*$R34*$S34*0.925)</f>
        <v/>
      </c>
      <c r="Y34" s="5">
        <f>IF($A34="","",$T34*(1+($3-'WEEKLY INPUT'!V34)*0.10)*$R34*$S34*0.9)</f>
        <v/>
      </c>
      <c r="Z34" s="5">
        <f>IF($A34="","",$T34*(1+($3-'WEEKLY INPUT'!W34)*0.10)*$R34*$S34*0.875)</f>
        <v/>
      </c>
      <c r="AA34" s="5">
        <f>IF($A34="","",$T34*(1+($3-'WEEKLY INPUT'!X34)*0.10)*$R34*$S34*0.85)</f>
        <v/>
      </c>
      <c r="AB34" s="5">
        <f>IF($A34="","",$T34*(1+($3-'WEEKLY INPUT'!Y34)*0.10)*$R34*$S34*0.825)</f>
        <v/>
      </c>
      <c r="AC34" s="5">
        <f>SUM(U34:AB34)</f>
        <v/>
      </c>
      <c r="AD34" s="5">
        <f>SUM(U34:Z34)</f>
        <v/>
      </c>
      <c r="AE34" s="5">
        <f>IFERROR(AD34/D34,0)</f>
        <v/>
      </c>
      <c r="AF34" s="5">
        <f>MAX(0,1-R34)</f>
        <v/>
      </c>
      <c r="AG34" s="5">
        <f>IFERROR((H34+I34)*R34*(1+0.10*(3-'WEEKLY INPUT'!R34)),"")</f>
        <v/>
      </c>
      <c r="AH34" s="5">
        <f>IFERROR(AG34/SUMPRODUCT($AG$6:$AG$205),"")</f>
        <v/>
      </c>
      <c r="AI34" s="5">
        <f>IFERROR(AD34*(1-AF34*0.5)*(1+0.15*AE34),0)</f>
        <v/>
      </c>
      <c r="AJ34" s="5">
        <f>IF(A34="","",RANK(AI34,$AI$6:$AI$205,0))</f>
        <v/>
      </c>
      <c r="AK34" s="5">
        <f>IFERROR('WEEKLY INPUT'!Z34,"")</f>
        <v/>
      </c>
    </row>
    <row r="35">
      <c r="A35" s="5">
        <f>IFERROR('WEEKLY INPUT'!A35,"")</f>
        <v/>
      </c>
      <c r="B35" s="5">
        <f>IFERROR('WEEKLY INPUT'!B35,"")</f>
        <v/>
      </c>
      <c r="C35" s="5">
        <f>IFERROR('WEEKLY INPUT'!C35,"")</f>
        <v/>
      </c>
      <c r="D35" s="5">
        <f>IFERROR('WEEKLY INPUT'!D35,0)</f>
        <v/>
      </c>
      <c r="E35" s="5">
        <f>IFERROR('WEEKLY INPUT'!E35,0)</f>
        <v/>
      </c>
      <c r="F35" s="5">
        <f>IFERROR('WEEKLY INPUT'!F35,0)</f>
        <v/>
      </c>
      <c r="G35" s="5">
        <f>IFERROR('WEEKLY INPUT'!Q35,0)</f>
        <v/>
      </c>
      <c r="H35" s="5">
        <f>IFERROR('WEEKLY INPUT'!H35/'WEEKLY INPUT'!F35*90,0)</f>
        <v/>
      </c>
      <c r="I35" s="5">
        <f>IFERROR('WEEKLY INPUT'!I35/'WEEKLY INPUT'!F35*90,0)</f>
        <v/>
      </c>
      <c r="J35" s="5">
        <f>H35+I35</f>
        <v/>
      </c>
      <c r="K35" s="5">
        <f>IFERROR('WEEKLY INPUT'!J35/'WEEKLY INPUT'!F35*90,0)</f>
        <v/>
      </c>
      <c r="L35" s="5">
        <f>IFERROR('WEEKLY INPUT'!K35/'WEEKLY INPUT'!F35*90,0)</f>
        <v/>
      </c>
      <c r="M35" s="5">
        <f>IFERROR('WEEKLY INPUT'!L35/'WEEKLY INPUT'!F35*90,0)</f>
        <v/>
      </c>
      <c r="N35" s="5">
        <f>IFERROR('WEEKLY INPUT'!M35/'WEEKLY INPUT'!F35*90,0)</f>
        <v/>
      </c>
      <c r="O35" s="5">
        <f>IFERROR('WEEKLY INPUT'!N35/'WEEKLY INPUT'!F35*90,0)</f>
        <v/>
      </c>
      <c r="P35" s="5">
        <f>IFERROR('WEEKLY INPUT'!O35/'WEEKLY INPUT'!F35*90,0)</f>
        <v/>
      </c>
      <c r="Q35" s="5">
        <f>IFERROR(('WEEKLY INPUT'!J35*2+'WEEKLY INPUT'!K35*1+'WEEKLY INPUT'!O35*0.2)/'WEEKLY INPUT'!F35,0)</f>
        <v/>
      </c>
      <c r="R35" s="5">
        <f>MAX(0.25,MIN(1.15,(F35/540)*0.5+G35*0.5))</f>
        <v/>
      </c>
      <c r="S35" s="5">
        <f>MAX(0.70,MIN(1.10,0.85+0.15*G35))</f>
        <v/>
      </c>
      <c r="T35" s="5">
        <f>IF(A35="","",2*('WEEKLY INPUT'!P35/90)+(H35*5+I35*3)*('WEEKLY INPUT'!P35/90)+(P35*0.15)*('WEEKLY INPUT'!P35/90)+Q35*0.25)</f>
        <v/>
      </c>
      <c r="U35" s="5">
        <f>IF($A35="","",$T35*(1+($3-'WEEKLY INPUT'!R35)*0.10)*$R35*$S35*1.0)</f>
        <v/>
      </c>
      <c r="V35" s="5">
        <f>IF($A35="","",$T35*(1+($3-'WEEKLY INPUT'!S35)*0.10)*$R35*$S35*0.975)</f>
        <v/>
      </c>
      <c r="W35" s="5">
        <f>IF($A35="","",$T35*(1+($3-'WEEKLY INPUT'!T35)*0.10)*$R35*$S35*0.95)</f>
        <v/>
      </c>
      <c r="X35" s="5">
        <f>IF($A35="","",$T35*(1+($3-'WEEKLY INPUT'!U35)*0.10)*$R35*$S35*0.925)</f>
        <v/>
      </c>
      <c r="Y35" s="5">
        <f>IF($A35="","",$T35*(1+($3-'WEEKLY INPUT'!V35)*0.10)*$R35*$S35*0.9)</f>
        <v/>
      </c>
      <c r="Z35" s="5">
        <f>IF($A35="","",$T35*(1+($3-'WEEKLY INPUT'!W35)*0.10)*$R35*$S35*0.875)</f>
        <v/>
      </c>
      <c r="AA35" s="5">
        <f>IF($A35="","",$T35*(1+($3-'WEEKLY INPUT'!X35)*0.10)*$R35*$S35*0.85)</f>
        <v/>
      </c>
      <c r="AB35" s="5">
        <f>IF($A35="","",$T35*(1+($3-'WEEKLY INPUT'!Y35)*0.10)*$R35*$S35*0.825)</f>
        <v/>
      </c>
      <c r="AC35" s="5">
        <f>SUM(U35:AB35)</f>
        <v/>
      </c>
      <c r="AD35" s="5">
        <f>SUM(U35:Z35)</f>
        <v/>
      </c>
      <c r="AE35" s="5">
        <f>IFERROR(AD35/D35,0)</f>
        <v/>
      </c>
      <c r="AF35" s="5">
        <f>MAX(0,1-R35)</f>
        <v/>
      </c>
      <c r="AG35" s="5">
        <f>IFERROR((H35+I35)*R35*(1+0.10*(3-'WEEKLY INPUT'!R35)),"")</f>
        <v/>
      </c>
      <c r="AH35" s="5">
        <f>IFERROR(AG35/SUMPRODUCT($AG$6:$AG$205),"")</f>
        <v/>
      </c>
      <c r="AI35" s="5">
        <f>IFERROR(AD35*(1-AF35*0.5)*(1+0.15*AE35),0)</f>
        <v/>
      </c>
      <c r="AJ35" s="5">
        <f>IF(A35="","",RANK(AI35,$AI$6:$AI$205,0))</f>
        <v/>
      </c>
      <c r="AK35" s="5">
        <f>IFERROR('WEEKLY INPUT'!Z35,"")</f>
        <v/>
      </c>
    </row>
    <row r="36">
      <c r="A36" s="5">
        <f>IFERROR('WEEKLY INPUT'!A36,"")</f>
        <v/>
      </c>
      <c r="B36" s="5">
        <f>IFERROR('WEEKLY INPUT'!B36,"")</f>
        <v/>
      </c>
      <c r="C36" s="5">
        <f>IFERROR('WEEKLY INPUT'!C36,"")</f>
        <v/>
      </c>
      <c r="D36" s="5">
        <f>IFERROR('WEEKLY INPUT'!D36,0)</f>
        <v/>
      </c>
      <c r="E36" s="5">
        <f>IFERROR('WEEKLY INPUT'!E36,0)</f>
        <v/>
      </c>
      <c r="F36" s="5">
        <f>IFERROR('WEEKLY INPUT'!F36,0)</f>
        <v/>
      </c>
      <c r="G36" s="5">
        <f>IFERROR('WEEKLY INPUT'!Q36,0)</f>
        <v/>
      </c>
      <c r="H36" s="5">
        <f>IFERROR('WEEKLY INPUT'!H36/'WEEKLY INPUT'!F36*90,0)</f>
        <v/>
      </c>
      <c r="I36" s="5">
        <f>IFERROR('WEEKLY INPUT'!I36/'WEEKLY INPUT'!F36*90,0)</f>
        <v/>
      </c>
      <c r="J36" s="5">
        <f>H36+I36</f>
        <v/>
      </c>
      <c r="K36" s="5">
        <f>IFERROR('WEEKLY INPUT'!J36/'WEEKLY INPUT'!F36*90,0)</f>
        <v/>
      </c>
      <c r="L36" s="5">
        <f>IFERROR('WEEKLY INPUT'!K36/'WEEKLY INPUT'!F36*90,0)</f>
        <v/>
      </c>
      <c r="M36" s="5">
        <f>IFERROR('WEEKLY INPUT'!L36/'WEEKLY INPUT'!F36*90,0)</f>
        <v/>
      </c>
      <c r="N36" s="5">
        <f>IFERROR('WEEKLY INPUT'!M36/'WEEKLY INPUT'!F36*90,0)</f>
        <v/>
      </c>
      <c r="O36" s="5">
        <f>IFERROR('WEEKLY INPUT'!N36/'WEEKLY INPUT'!F36*90,0)</f>
        <v/>
      </c>
      <c r="P36" s="5">
        <f>IFERROR('WEEKLY INPUT'!O36/'WEEKLY INPUT'!F36*90,0)</f>
        <v/>
      </c>
      <c r="Q36" s="5">
        <f>IFERROR(('WEEKLY INPUT'!J36*2+'WEEKLY INPUT'!K36*1+'WEEKLY INPUT'!O36*0.2)/'WEEKLY INPUT'!F36,0)</f>
        <v/>
      </c>
      <c r="R36" s="5">
        <f>MAX(0.25,MIN(1.15,(F36/540)*0.5+G36*0.5))</f>
        <v/>
      </c>
      <c r="S36" s="5">
        <f>MAX(0.70,MIN(1.10,0.85+0.15*G36))</f>
        <v/>
      </c>
      <c r="T36" s="5">
        <f>IF(A36="","",2*('WEEKLY INPUT'!P36/90)+(H36*5+I36*3)*('WEEKLY INPUT'!P36/90)+(P36*0.15)*('WEEKLY INPUT'!P36/90)+Q36*0.25)</f>
        <v/>
      </c>
      <c r="U36" s="5">
        <f>IF($A36="","",$T36*(1+($3-'WEEKLY INPUT'!R36)*0.10)*$R36*$S36*1.0)</f>
        <v/>
      </c>
      <c r="V36" s="5">
        <f>IF($A36="","",$T36*(1+($3-'WEEKLY INPUT'!S36)*0.10)*$R36*$S36*0.975)</f>
        <v/>
      </c>
      <c r="W36" s="5">
        <f>IF($A36="","",$T36*(1+($3-'WEEKLY INPUT'!T36)*0.10)*$R36*$S36*0.95)</f>
        <v/>
      </c>
      <c r="X36" s="5">
        <f>IF($A36="","",$T36*(1+($3-'WEEKLY INPUT'!U36)*0.10)*$R36*$S36*0.925)</f>
        <v/>
      </c>
      <c r="Y36" s="5">
        <f>IF($A36="","",$T36*(1+($3-'WEEKLY INPUT'!V36)*0.10)*$R36*$S36*0.9)</f>
        <v/>
      </c>
      <c r="Z36" s="5">
        <f>IF($A36="","",$T36*(1+($3-'WEEKLY INPUT'!W36)*0.10)*$R36*$S36*0.875)</f>
        <v/>
      </c>
      <c r="AA36" s="5">
        <f>IF($A36="","",$T36*(1+($3-'WEEKLY INPUT'!X36)*0.10)*$R36*$S36*0.85)</f>
        <v/>
      </c>
      <c r="AB36" s="5">
        <f>IF($A36="","",$T36*(1+($3-'WEEKLY INPUT'!Y36)*0.10)*$R36*$S36*0.825)</f>
        <v/>
      </c>
      <c r="AC36" s="5">
        <f>SUM(U36:AB36)</f>
        <v/>
      </c>
      <c r="AD36" s="5">
        <f>SUM(U36:Z36)</f>
        <v/>
      </c>
      <c r="AE36" s="5">
        <f>IFERROR(AD36/D36,0)</f>
        <v/>
      </c>
      <c r="AF36" s="5">
        <f>MAX(0,1-R36)</f>
        <v/>
      </c>
      <c r="AG36" s="5">
        <f>IFERROR((H36+I36)*R36*(1+0.10*(3-'WEEKLY INPUT'!R36)),"")</f>
        <v/>
      </c>
      <c r="AH36" s="5">
        <f>IFERROR(AG36/SUMPRODUCT($AG$6:$AG$205),"")</f>
        <v/>
      </c>
      <c r="AI36" s="5">
        <f>IFERROR(AD36*(1-AF36*0.5)*(1+0.15*AE36),0)</f>
        <v/>
      </c>
      <c r="AJ36" s="5">
        <f>IF(A36="","",RANK(AI36,$AI$6:$AI$205,0))</f>
        <v/>
      </c>
      <c r="AK36" s="5">
        <f>IFERROR('WEEKLY INPUT'!Z36,"")</f>
        <v/>
      </c>
    </row>
    <row r="37">
      <c r="A37" s="5">
        <f>IFERROR('WEEKLY INPUT'!A37,"")</f>
        <v/>
      </c>
      <c r="B37" s="5">
        <f>IFERROR('WEEKLY INPUT'!B37,"")</f>
        <v/>
      </c>
      <c r="C37" s="5">
        <f>IFERROR('WEEKLY INPUT'!C37,"")</f>
        <v/>
      </c>
      <c r="D37" s="5">
        <f>IFERROR('WEEKLY INPUT'!D37,0)</f>
        <v/>
      </c>
      <c r="E37" s="5">
        <f>IFERROR('WEEKLY INPUT'!E37,0)</f>
        <v/>
      </c>
      <c r="F37" s="5">
        <f>IFERROR('WEEKLY INPUT'!F37,0)</f>
        <v/>
      </c>
      <c r="G37" s="5">
        <f>IFERROR('WEEKLY INPUT'!Q37,0)</f>
        <v/>
      </c>
      <c r="H37" s="5">
        <f>IFERROR('WEEKLY INPUT'!H37/'WEEKLY INPUT'!F37*90,0)</f>
        <v/>
      </c>
      <c r="I37" s="5">
        <f>IFERROR('WEEKLY INPUT'!I37/'WEEKLY INPUT'!F37*90,0)</f>
        <v/>
      </c>
      <c r="J37" s="5">
        <f>H37+I37</f>
        <v/>
      </c>
      <c r="K37" s="5">
        <f>IFERROR('WEEKLY INPUT'!J37/'WEEKLY INPUT'!F37*90,0)</f>
        <v/>
      </c>
      <c r="L37" s="5">
        <f>IFERROR('WEEKLY INPUT'!K37/'WEEKLY INPUT'!F37*90,0)</f>
        <v/>
      </c>
      <c r="M37" s="5">
        <f>IFERROR('WEEKLY INPUT'!L37/'WEEKLY INPUT'!F37*90,0)</f>
        <v/>
      </c>
      <c r="N37" s="5">
        <f>IFERROR('WEEKLY INPUT'!M37/'WEEKLY INPUT'!F37*90,0)</f>
        <v/>
      </c>
      <c r="O37" s="5">
        <f>IFERROR('WEEKLY INPUT'!N37/'WEEKLY INPUT'!F37*90,0)</f>
        <v/>
      </c>
      <c r="P37" s="5">
        <f>IFERROR('WEEKLY INPUT'!O37/'WEEKLY INPUT'!F37*90,0)</f>
        <v/>
      </c>
      <c r="Q37" s="5">
        <f>IFERROR(('WEEKLY INPUT'!J37*2+'WEEKLY INPUT'!K37*1+'WEEKLY INPUT'!O37*0.2)/'WEEKLY INPUT'!F37,0)</f>
        <v/>
      </c>
      <c r="R37" s="5">
        <f>MAX(0.25,MIN(1.15,(F37/540)*0.5+G37*0.5))</f>
        <v/>
      </c>
      <c r="S37" s="5">
        <f>MAX(0.70,MIN(1.10,0.85+0.15*G37))</f>
        <v/>
      </c>
      <c r="T37" s="5">
        <f>IF(A37="","",2*('WEEKLY INPUT'!P37/90)+(H37*5+I37*3)*('WEEKLY INPUT'!P37/90)+(P37*0.15)*('WEEKLY INPUT'!P37/90)+Q37*0.25)</f>
        <v/>
      </c>
      <c r="U37" s="5">
        <f>IF($A37="","",$T37*(1+($3-'WEEKLY INPUT'!R37)*0.10)*$R37*$S37*1.0)</f>
        <v/>
      </c>
      <c r="V37" s="5">
        <f>IF($A37="","",$T37*(1+($3-'WEEKLY INPUT'!S37)*0.10)*$R37*$S37*0.975)</f>
        <v/>
      </c>
      <c r="W37" s="5">
        <f>IF($A37="","",$T37*(1+($3-'WEEKLY INPUT'!T37)*0.10)*$R37*$S37*0.95)</f>
        <v/>
      </c>
      <c r="X37" s="5">
        <f>IF($A37="","",$T37*(1+($3-'WEEKLY INPUT'!U37)*0.10)*$R37*$S37*0.925)</f>
        <v/>
      </c>
      <c r="Y37" s="5">
        <f>IF($A37="","",$T37*(1+($3-'WEEKLY INPUT'!V37)*0.10)*$R37*$S37*0.9)</f>
        <v/>
      </c>
      <c r="Z37" s="5">
        <f>IF($A37="","",$T37*(1+($3-'WEEKLY INPUT'!W37)*0.10)*$R37*$S37*0.875)</f>
        <v/>
      </c>
      <c r="AA37" s="5">
        <f>IF($A37="","",$T37*(1+($3-'WEEKLY INPUT'!X37)*0.10)*$R37*$S37*0.85)</f>
        <v/>
      </c>
      <c r="AB37" s="5">
        <f>IF($A37="","",$T37*(1+($3-'WEEKLY INPUT'!Y37)*0.10)*$R37*$S37*0.825)</f>
        <v/>
      </c>
      <c r="AC37" s="5">
        <f>SUM(U37:AB37)</f>
        <v/>
      </c>
      <c r="AD37" s="5">
        <f>SUM(U37:Z37)</f>
        <v/>
      </c>
      <c r="AE37" s="5">
        <f>IFERROR(AD37/D37,0)</f>
        <v/>
      </c>
      <c r="AF37" s="5">
        <f>MAX(0,1-R37)</f>
        <v/>
      </c>
      <c r="AG37" s="5">
        <f>IFERROR((H37+I37)*R37*(1+0.10*(3-'WEEKLY INPUT'!R37)),"")</f>
        <v/>
      </c>
      <c r="AH37" s="5">
        <f>IFERROR(AG37/SUMPRODUCT($AG$6:$AG$205),"")</f>
        <v/>
      </c>
      <c r="AI37" s="5">
        <f>IFERROR(AD37*(1-AF37*0.5)*(1+0.15*AE37),0)</f>
        <v/>
      </c>
      <c r="AJ37" s="5">
        <f>IF(A37="","",RANK(AI37,$AI$6:$AI$205,0))</f>
        <v/>
      </c>
      <c r="AK37" s="5">
        <f>IFERROR('WEEKLY INPUT'!Z37,"")</f>
        <v/>
      </c>
    </row>
    <row r="38">
      <c r="A38" s="5">
        <f>IFERROR('WEEKLY INPUT'!A38,"")</f>
        <v/>
      </c>
      <c r="B38" s="5">
        <f>IFERROR('WEEKLY INPUT'!B38,"")</f>
        <v/>
      </c>
      <c r="C38" s="5">
        <f>IFERROR('WEEKLY INPUT'!C38,"")</f>
        <v/>
      </c>
      <c r="D38" s="5">
        <f>IFERROR('WEEKLY INPUT'!D38,0)</f>
        <v/>
      </c>
      <c r="E38" s="5">
        <f>IFERROR('WEEKLY INPUT'!E38,0)</f>
        <v/>
      </c>
      <c r="F38" s="5">
        <f>IFERROR('WEEKLY INPUT'!F38,0)</f>
        <v/>
      </c>
      <c r="G38" s="5">
        <f>IFERROR('WEEKLY INPUT'!Q38,0)</f>
        <v/>
      </c>
      <c r="H38" s="5">
        <f>IFERROR('WEEKLY INPUT'!H38/'WEEKLY INPUT'!F38*90,0)</f>
        <v/>
      </c>
      <c r="I38" s="5">
        <f>IFERROR('WEEKLY INPUT'!I38/'WEEKLY INPUT'!F38*90,0)</f>
        <v/>
      </c>
      <c r="J38" s="5">
        <f>H38+I38</f>
        <v/>
      </c>
      <c r="K38" s="5">
        <f>IFERROR('WEEKLY INPUT'!J38/'WEEKLY INPUT'!F38*90,0)</f>
        <v/>
      </c>
      <c r="L38" s="5">
        <f>IFERROR('WEEKLY INPUT'!K38/'WEEKLY INPUT'!F38*90,0)</f>
        <v/>
      </c>
      <c r="M38" s="5">
        <f>IFERROR('WEEKLY INPUT'!L38/'WEEKLY INPUT'!F38*90,0)</f>
        <v/>
      </c>
      <c r="N38" s="5">
        <f>IFERROR('WEEKLY INPUT'!M38/'WEEKLY INPUT'!F38*90,0)</f>
        <v/>
      </c>
      <c r="O38" s="5">
        <f>IFERROR('WEEKLY INPUT'!N38/'WEEKLY INPUT'!F38*90,0)</f>
        <v/>
      </c>
      <c r="P38" s="5">
        <f>IFERROR('WEEKLY INPUT'!O38/'WEEKLY INPUT'!F38*90,0)</f>
        <v/>
      </c>
      <c r="Q38" s="5">
        <f>IFERROR(('WEEKLY INPUT'!J38*2+'WEEKLY INPUT'!K38*1+'WEEKLY INPUT'!O38*0.2)/'WEEKLY INPUT'!F38,0)</f>
        <v/>
      </c>
      <c r="R38" s="5">
        <f>MAX(0.25,MIN(1.15,(F38/540)*0.5+G38*0.5))</f>
        <v/>
      </c>
      <c r="S38" s="5">
        <f>MAX(0.70,MIN(1.10,0.85+0.15*G38))</f>
        <v/>
      </c>
      <c r="T38" s="5">
        <f>IF(A38="","",2*('WEEKLY INPUT'!P38/90)+(H38*5+I38*3)*('WEEKLY INPUT'!P38/90)+(P38*0.15)*('WEEKLY INPUT'!P38/90)+Q38*0.25)</f>
        <v/>
      </c>
      <c r="U38" s="5">
        <f>IF($A38="","",$T38*(1+($3-'WEEKLY INPUT'!R38)*0.10)*$R38*$S38*1.0)</f>
        <v/>
      </c>
      <c r="V38" s="5">
        <f>IF($A38="","",$T38*(1+($3-'WEEKLY INPUT'!S38)*0.10)*$R38*$S38*0.975)</f>
        <v/>
      </c>
      <c r="W38" s="5">
        <f>IF($A38="","",$T38*(1+($3-'WEEKLY INPUT'!T38)*0.10)*$R38*$S38*0.95)</f>
        <v/>
      </c>
      <c r="X38" s="5">
        <f>IF($A38="","",$T38*(1+($3-'WEEKLY INPUT'!U38)*0.10)*$R38*$S38*0.925)</f>
        <v/>
      </c>
      <c r="Y38" s="5">
        <f>IF($A38="","",$T38*(1+($3-'WEEKLY INPUT'!V38)*0.10)*$R38*$S38*0.9)</f>
        <v/>
      </c>
      <c r="Z38" s="5">
        <f>IF($A38="","",$T38*(1+($3-'WEEKLY INPUT'!W38)*0.10)*$R38*$S38*0.875)</f>
        <v/>
      </c>
      <c r="AA38" s="5">
        <f>IF($A38="","",$T38*(1+($3-'WEEKLY INPUT'!X38)*0.10)*$R38*$S38*0.85)</f>
        <v/>
      </c>
      <c r="AB38" s="5">
        <f>IF($A38="","",$T38*(1+($3-'WEEKLY INPUT'!Y38)*0.10)*$R38*$S38*0.825)</f>
        <v/>
      </c>
      <c r="AC38" s="5">
        <f>SUM(U38:AB38)</f>
        <v/>
      </c>
      <c r="AD38" s="5">
        <f>SUM(U38:Z38)</f>
        <v/>
      </c>
      <c r="AE38" s="5">
        <f>IFERROR(AD38/D38,0)</f>
        <v/>
      </c>
      <c r="AF38" s="5">
        <f>MAX(0,1-R38)</f>
        <v/>
      </c>
      <c r="AG38" s="5">
        <f>IFERROR((H38+I38)*R38*(1+0.10*(3-'WEEKLY INPUT'!R38)),"")</f>
        <v/>
      </c>
      <c r="AH38" s="5">
        <f>IFERROR(AG38/SUMPRODUCT($AG$6:$AG$205),"")</f>
        <v/>
      </c>
      <c r="AI38" s="5">
        <f>IFERROR(AD38*(1-AF38*0.5)*(1+0.15*AE38),0)</f>
        <v/>
      </c>
      <c r="AJ38" s="5">
        <f>IF(A38="","",RANK(AI38,$AI$6:$AI$205,0))</f>
        <v/>
      </c>
      <c r="AK38" s="5">
        <f>IFERROR('WEEKLY INPUT'!Z38,"")</f>
        <v/>
      </c>
    </row>
    <row r="39">
      <c r="A39" s="5">
        <f>IFERROR('WEEKLY INPUT'!A39,"")</f>
        <v/>
      </c>
      <c r="B39" s="5">
        <f>IFERROR('WEEKLY INPUT'!B39,"")</f>
        <v/>
      </c>
      <c r="C39" s="5">
        <f>IFERROR('WEEKLY INPUT'!C39,"")</f>
        <v/>
      </c>
      <c r="D39" s="5">
        <f>IFERROR('WEEKLY INPUT'!D39,0)</f>
        <v/>
      </c>
      <c r="E39" s="5">
        <f>IFERROR('WEEKLY INPUT'!E39,0)</f>
        <v/>
      </c>
      <c r="F39" s="5">
        <f>IFERROR('WEEKLY INPUT'!F39,0)</f>
        <v/>
      </c>
      <c r="G39" s="5">
        <f>IFERROR('WEEKLY INPUT'!Q39,0)</f>
        <v/>
      </c>
      <c r="H39" s="5">
        <f>IFERROR('WEEKLY INPUT'!H39/'WEEKLY INPUT'!F39*90,0)</f>
        <v/>
      </c>
      <c r="I39" s="5">
        <f>IFERROR('WEEKLY INPUT'!I39/'WEEKLY INPUT'!F39*90,0)</f>
        <v/>
      </c>
      <c r="J39" s="5">
        <f>H39+I39</f>
        <v/>
      </c>
      <c r="K39" s="5">
        <f>IFERROR('WEEKLY INPUT'!J39/'WEEKLY INPUT'!F39*90,0)</f>
        <v/>
      </c>
      <c r="L39" s="5">
        <f>IFERROR('WEEKLY INPUT'!K39/'WEEKLY INPUT'!F39*90,0)</f>
        <v/>
      </c>
      <c r="M39" s="5">
        <f>IFERROR('WEEKLY INPUT'!L39/'WEEKLY INPUT'!F39*90,0)</f>
        <v/>
      </c>
      <c r="N39" s="5">
        <f>IFERROR('WEEKLY INPUT'!M39/'WEEKLY INPUT'!F39*90,0)</f>
        <v/>
      </c>
      <c r="O39" s="5">
        <f>IFERROR('WEEKLY INPUT'!N39/'WEEKLY INPUT'!F39*90,0)</f>
        <v/>
      </c>
      <c r="P39" s="5">
        <f>IFERROR('WEEKLY INPUT'!O39/'WEEKLY INPUT'!F39*90,0)</f>
        <v/>
      </c>
      <c r="Q39" s="5">
        <f>IFERROR(('WEEKLY INPUT'!J39*2+'WEEKLY INPUT'!K39*1+'WEEKLY INPUT'!O39*0.2)/'WEEKLY INPUT'!F39,0)</f>
        <v/>
      </c>
      <c r="R39" s="5">
        <f>MAX(0.25,MIN(1.15,(F39/540)*0.5+G39*0.5))</f>
        <v/>
      </c>
      <c r="S39" s="5">
        <f>MAX(0.70,MIN(1.10,0.85+0.15*G39))</f>
        <v/>
      </c>
      <c r="T39" s="5">
        <f>IF(A39="","",2*('WEEKLY INPUT'!P39/90)+(H39*5+I39*3)*('WEEKLY INPUT'!P39/90)+(P39*0.15)*('WEEKLY INPUT'!P39/90)+Q39*0.25)</f>
        <v/>
      </c>
      <c r="U39" s="5">
        <f>IF($A39="","",$T39*(1+($3-'WEEKLY INPUT'!R39)*0.10)*$R39*$S39*1.0)</f>
        <v/>
      </c>
      <c r="V39" s="5">
        <f>IF($A39="","",$T39*(1+($3-'WEEKLY INPUT'!S39)*0.10)*$R39*$S39*0.975)</f>
        <v/>
      </c>
      <c r="W39" s="5">
        <f>IF($A39="","",$T39*(1+($3-'WEEKLY INPUT'!T39)*0.10)*$R39*$S39*0.95)</f>
        <v/>
      </c>
      <c r="X39" s="5">
        <f>IF($A39="","",$T39*(1+($3-'WEEKLY INPUT'!U39)*0.10)*$R39*$S39*0.925)</f>
        <v/>
      </c>
      <c r="Y39" s="5">
        <f>IF($A39="","",$T39*(1+($3-'WEEKLY INPUT'!V39)*0.10)*$R39*$S39*0.9)</f>
        <v/>
      </c>
      <c r="Z39" s="5">
        <f>IF($A39="","",$T39*(1+($3-'WEEKLY INPUT'!W39)*0.10)*$R39*$S39*0.875)</f>
        <v/>
      </c>
      <c r="AA39" s="5">
        <f>IF($A39="","",$T39*(1+($3-'WEEKLY INPUT'!X39)*0.10)*$R39*$S39*0.85)</f>
        <v/>
      </c>
      <c r="AB39" s="5">
        <f>IF($A39="","",$T39*(1+($3-'WEEKLY INPUT'!Y39)*0.10)*$R39*$S39*0.825)</f>
        <v/>
      </c>
      <c r="AC39" s="5">
        <f>SUM(U39:AB39)</f>
        <v/>
      </c>
      <c r="AD39" s="5">
        <f>SUM(U39:Z39)</f>
        <v/>
      </c>
      <c r="AE39" s="5">
        <f>IFERROR(AD39/D39,0)</f>
        <v/>
      </c>
      <c r="AF39" s="5">
        <f>MAX(0,1-R39)</f>
        <v/>
      </c>
      <c r="AG39" s="5">
        <f>IFERROR((H39+I39)*R39*(1+0.10*(3-'WEEKLY INPUT'!R39)),"")</f>
        <v/>
      </c>
      <c r="AH39" s="5">
        <f>IFERROR(AG39/SUMPRODUCT($AG$6:$AG$205),"")</f>
        <v/>
      </c>
      <c r="AI39" s="5">
        <f>IFERROR(AD39*(1-AF39*0.5)*(1+0.15*AE39),0)</f>
        <v/>
      </c>
      <c r="AJ39" s="5">
        <f>IF(A39="","",RANK(AI39,$AI$6:$AI$205,0))</f>
        <v/>
      </c>
      <c r="AK39" s="5">
        <f>IFERROR('WEEKLY INPUT'!Z39,"")</f>
        <v/>
      </c>
    </row>
    <row r="40">
      <c r="A40" s="5">
        <f>IFERROR('WEEKLY INPUT'!A40,"")</f>
        <v/>
      </c>
      <c r="B40" s="5">
        <f>IFERROR('WEEKLY INPUT'!B40,"")</f>
        <v/>
      </c>
      <c r="C40" s="5">
        <f>IFERROR('WEEKLY INPUT'!C40,"")</f>
        <v/>
      </c>
      <c r="D40" s="5">
        <f>IFERROR('WEEKLY INPUT'!D40,0)</f>
        <v/>
      </c>
      <c r="E40" s="5">
        <f>IFERROR('WEEKLY INPUT'!E40,0)</f>
        <v/>
      </c>
      <c r="F40" s="5">
        <f>IFERROR('WEEKLY INPUT'!F40,0)</f>
        <v/>
      </c>
      <c r="G40" s="5">
        <f>IFERROR('WEEKLY INPUT'!Q40,0)</f>
        <v/>
      </c>
      <c r="H40" s="5">
        <f>IFERROR('WEEKLY INPUT'!H40/'WEEKLY INPUT'!F40*90,0)</f>
        <v/>
      </c>
      <c r="I40" s="5">
        <f>IFERROR('WEEKLY INPUT'!I40/'WEEKLY INPUT'!F40*90,0)</f>
        <v/>
      </c>
      <c r="J40" s="5">
        <f>H40+I40</f>
        <v/>
      </c>
      <c r="K40" s="5">
        <f>IFERROR('WEEKLY INPUT'!J40/'WEEKLY INPUT'!F40*90,0)</f>
        <v/>
      </c>
      <c r="L40" s="5">
        <f>IFERROR('WEEKLY INPUT'!K40/'WEEKLY INPUT'!F40*90,0)</f>
        <v/>
      </c>
      <c r="M40" s="5">
        <f>IFERROR('WEEKLY INPUT'!L40/'WEEKLY INPUT'!F40*90,0)</f>
        <v/>
      </c>
      <c r="N40" s="5">
        <f>IFERROR('WEEKLY INPUT'!M40/'WEEKLY INPUT'!F40*90,0)</f>
        <v/>
      </c>
      <c r="O40" s="5">
        <f>IFERROR('WEEKLY INPUT'!N40/'WEEKLY INPUT'!F40*90,0)</f>
        <v/>
      </c>
      <c r="P40" s="5">
        <f>IFERROR('WEEKLY INPUT'!O40/'WEEKLY INPUT'!F40*90,0)</f>
        <v/>
      </c>
      <c r="Q40" s="5">
        <f>IFERROR(('WEEKLY INPUT'!J40*2+'WEEKLY INPUT'!K40*1+'WEEKLY INPUT'!O40*0.2)/'WEEKLY INPUT'!F40,0)</f>
        <v/>
      </c>
      <c r="R40" s="5">
        <f>MAX(0.25,MIN(1.15,(F40/540)*0.5+G40*0.5))</f>
        <v/>
      </c>
      <c r="S40" s="5">
        <f>MAX(0.70,MIN(1.10,0.85+0.15*G40))</f>
        <v/>
      </c>
      <c r="T40" s="5">
        <f>IF(A40="","",2*('WEEKLY INPUT'!P40/90)+(H40*5+I40*3)*('WEEKLY INPUT'!P40/90)+(P40*0.15)*('WEEKLY INPUT'!P40/90)+Q40*0.25)</f>
        <v/>
      </c>
      <c r="U40" s="5">
        <f>IF($A40="","",$T40*(1+($3-'WEEKLY INPUT'!R40)*0.10)*$R40*$S40*1.0)</f>
        <v/>
      </c>
      <c r="V40" s="5">
        <f>IF($A40="","",$T40*(1+($3-'WEEKLY INPUT'!S40)*0.10)*$R40*$S40*0.975)</f>
        <v/>
      </c>
      <c r="W40" s="5">
        <f>IF($A40="","",$T40*(1+($3-'WEEKLY INPUT'!T40)*0.10)*$R40*$S40*0.95)</f>
        <v/>
      </c>
      <c r="X40" s="5">
        <f>IF($A40="","",$T40*(1+($3-'WEEKLY INPUT'!U40)*0.10)*$R40*$S40*0.925)</f>
        <v/>
      </c>
      <c r="Y40" s="5">
        <f>IF($A40="","",$T40*(1+($3-'WEEKLY INPUT'!V40)*0.10)*$R40*$S40*0.9)</f>
        <v/>
      </c>
      <c r="Z40" s="5">
        <f>IF($A40="","",$T40*(1+($3-'WEEKLY INPUT'!W40)*0.10)*$R40*$S40*0.875)</f>
        <v/>
      </c>
      <c r="AA40" s="5">
        <f>IF($A40="","",$T40*(1+($3-'WEEKLY INPUT'!X40)*0.10)*$R40*$S40*0.85)</f>
        <v/>
      </c>
      <c r="AB40" s="5">
        <f>IF($A40="","",$T40*(1+($3-'WEEKLY INPUT'!Y40)*0.10)*$R40*$S40*0.825)</f>
        <v/>
      </c>
      <c r="AC40" s="5">
        <f>SUM(U40:AB40)</f>
        <v/>
      </c>
      <c r="AD40" s="5">
        <f>SUM(U40:Z40)</f>
        <v/>
      </c>
      <c r="AE40" s="5">
        <f>IFERROR(AD40/D40,0)</f>
        <v/>
      </c>
      <c r="AF40" s="5">
        <f>MAX(0,1-R40)</f>
        <v/>
      </c>
      <c r="AG40" s="5">
        <f>IFERROR((H40+I40)*R40*(1+0.10*(3-'WEEKLY INPUT'!R40)),"")</f>
        <v/>
      </c>
      <c r="AH40" s="5">
        <f>IFERROR(AG40/SUMPRODUCT($AG$6:$AG$205),"")</f>
        <v/>
      </c>
      <c r="AI40" s="5">
        <f>IFERROR(AD40*(1-AF40*0.5)*(1+0.15*AE40),0)</f>
        <v/>
      </c>
      <c r="AJ40" s="5">
        <f>IF(A40="","",RANK(AI40,$AI$6:$AI$205,0))</f>
        <v/>
      </c>
      <c r="AK40" s="5">
        <f>IFERROR('WEEKLY INPUT'!Z40,"")</f>
        <v/>
      </c>
    </row>
    <row r="41">
      <c r="A41" s="5">
        <f>IFERROR('WEEKLY INPUT'!A41,"")</f>
        <v/>
      </c>
      <c r="B41" s="5">
        <f>IFERROR('WEEKLY INPUT'!B41,"")</f>
        <v/>
      </c>
      <c r="C41" s="5">
        <f>IFERROR('WEEKLY INPUT'!C41,"")</f>
        <v/>
      </c>
      <c r="D41" s="5">
        <f>IFERROR('WEEKLY INPUT'!D41,0)</f>
        <v/>
      </c>
      <c r="E41" s="5">
        <f>IFERROR('WEEKLY INPUT'!E41,0)</f>
        <v/>
      </c>
      <c r="F41" s="5">
        <f>IFERROR('WEEKLY INPUT'!F41,0)</f>
        <v/>
      </c>
      <c r="G41" s="5">
        <f>IFERROR('WEEKLY INPUT'!Q41,0)</f>
        <v/>
      </c>
      <c r="H41" s="5">
        <f>IFERROR('WEEKLY INPUT'!H41/'WEEKLY INPUT'!F41*90,0)</f>
        <v/>
      </c>
      <c r="I41" s="5">
        <f>IFERROR('WEEKLY INPUT'!I41/'WEEKLY INPUT'!F41*90,0)</f>
        <v/>
      </c>
      <c r="J41" s="5">
        <f>H41+I41</f>
        <v/>
      </c>
      <c r="K41" s="5">
        <f>IFERROR('WEEKLY INPUT'!J41/'WEEKLY INPUT'!F41*90,0)</f>
        <v/>
      </c>
      <c r="L41" s="5">
        <f>IFERROR('WEEKLY INPUT'!K41/'WEEKLY INPUT'!F41*90,0)</f>
        <v/>
      </c>
      <c r="M41" s="5">
        <f>IFERROR('WEEKLY INPUT'!L41/'WEEKLY INPUT'!F41*90,0)</f>
        <v/>
      </c>
      <c r="N41" s="5">
        <f>IFERROR('WEEKLY INPUT'!M41/'WEEKLY INPUT'!F41*90,0)</f>
        <v/>
      </c>
      <c r="O41" s="5">
        <f>IFERROR('WEEKLY INPUT'!N41/'WEEKLY INPUT'!F41*90,0)</f>
        <v/>
      </c>
      <c r="P41" s="5">
        <f>IFERROR('WEEKLY INPUT'!O41/'WEEKLY INPUT'!F41*90,0)</f>
        <v/>
      </c>
      <c r="Q41" s="5">
        <f>IFERROR(('WEEKLY INPUT'!J41*2+'WEEKLY INPUT'!K41*1+'WEEKLY INPUT'!O41*0.2)/'WEEKLY INPUT'!F41,0)</f>
        <v/>
      </c>
      <c r="R41" s="5">
        <f>MAX(0.25,MIN(1.15,(F41/540)*0.5+G41*0.5))</f>
        <v/>
      </c>
      <c r="S41" s="5">
        <f>MAX(0.70,MIN(1.10,0.85+0.15*G41))</f>
        <v/>
      </c>
      <c r="T41" s="5">
        <f>IF(A41="","",2*('WEEKLY INPUT'!P41/90)+(H41*5+I41*3)*('WEEKLY INPUT'!P41/90)+(P41*0.15)*('WEEKLY INPUT'!P41/90)+Q41*0.25)</f>
        <v/>
      </c>
      <c r="U41" s="5">
        <f>IF($A41="","",$T41*(1+($3-'WEEKLY INPUT'!R41)*0.10)*$R41*$S41*1.0)</f>
        <v/>
      </c>
      <c r="V41" s="5">
        <f>IF($A41="","",$T41*(1+($3-'WEEKLY INPUT'!S41)*0.10)*$R41*$S41*0.975)</f>
        <v/>
      </c>
      <c r="W41" s="5">
        <f>IF($A41="","",$T41*(1+($3-'WEEKLY INPUT'!T41)*0.10)*$R41*$S41*0.95)</f>
        <v/>
      </c>
      <c r="X41" s="5">
        <f>IF($A41="","",$T41*(1+($3-'WEEKLY INPUT'!U41)*0.10)*$R41*$S41*0.925)</f>
        <v/>
      </c>
      <c r="Y41" s="5">
        <f>IF($A41="","",$T41*(1+($3-'WEEKLY INPUT'!V41)*0.10)*$R41*$S41*0.9)</f>
        <v/>
      </c>
      <c r="Z41" s="5">
        <f>IF($A41="","",$T41*(1+($3-'WEEKLY INPUT'!W41)*0.10)*$R41*$S41*0.875)</f>
        <v/>
      </c>
      <c r="AA41" s="5">
        <f>IF($A41="","",$T41*(1+($3-'WEEKLY INPUT'!X41)*0.10)*$R41*$S41*0.85)</f>
        <v/>
      </c>
      <c r="AB41" s="5">
        <f>IF($A41="","",$T41*(1+($3-'WEEKLY INPUT'!Y41)*0.10)*$R41*$S41*0.825)</f>
        <v/>
      </c>
      <c r="AC41" s="5">
        <f>SUM(U41:AB41)</f>
        <v/>
      </c>
      <c r="AD41" s="5">
        <f>SUM(U41:Z41)</f>
        <v/>
      </c>
      <c r="AE41" s="5">
        <f>IFERROR(AD41/D41,0)</f>
        <v/>
      </c>
      <c r="AF41" s="5">
        <f>MAX(0,1-R41)</f>
        <v/>
      </c>
      <c r="AG41" s="5">
        <f>IFERROR((H41+I41)*R41*(1+0.10*(3-'WEEKLY INPUT'!R41)),"")</f>
        <v/>
      </c>
      <c r="AH41" s="5">
        <f>IFERROR(AG41/SUMPRODUCT($AG$6:$AG$205),"")</f>
        <v/>
      </c>
      <c r="AI41" s="5">
        <f>IFERROR(AD41*(1-AF41*0.5)*(1+0.15*AE41),0)</f>
        <v/>
      </c>
      <c r="AJ41" s="5">
        <f>IF(A41="","",RANK(AI41,$AI$6:$AI$205,0))</f>
        <v/>
      </c>
      <c r="AK41" s="5">
        <f>IFERROR('WEEKLY INPUT'!Z41,"")</f>
        <v/>
      </c>
    </row>
    <row r="42">
      <c r="A42" s="5">
        <f>IFERROR('WEEKLY INPUT'!A42,"")</f>
        <v/>
      </c>
      <c r="B42" s="5">
        <f>IFERROR('WEEKLY INPUT'!B42,"")</f>
        <v/>
      </c>
      <c r="C42" s="5">
        <f>IFERROR('WEEKLY INPUT'!C42,"")</f>
        <v/>
      </c>
      <c r="D42" s="5">
        <f>IFERROR('WEEKLY INPUT'!D42,0)</f>
        <v/>
      </c>
      <c r="E42" s="5">
        <f>IFERROR('WEEKLY INPUT'!E42,0)</f>
        <v/>
      </c>
      <c r="F42" s="5">
        <f>IFERROR('WEEKLY INPUT'!F42,0)</f>
        <v/>
      </c>
      <c r="G42" s="5">
        <f>IFERROR('WEEKLY INPUT'!Q42,0)</f>
        <v/>
      </c>
      <c r="H42" s="5">
        <f>IFERROR('WEEKLY INPUT'!H42/'WEEKLY INPUT'!F42*90,0)</f>
        <v/>
      </c>
      <c r="I42" s="5">
        <f>IFERROR('WEEKLY INPUT'!I42/'WEEKLY INPUT'!F42*90,0)</f>
        <v/>
      </c>
      <c r="J42" s="5">
        <f>H42+I42</f>
        <v/>
      </c>
      <c r="K42" s="5">
        <f>IFERROR('WEEKLY INPUT'!J42/'WEEKLY INPUT'!F42*90,0)</f>
        <v/>
      </c>
      <c r="L42" s="5">
        <f>IFERROR('WEEKLY INPUT'!K42/'WEEKLY INPUT'!F42*90,0)</f>
        <v/>
      </c>
      <c r="M42" s="5">
        <f>IFERROR('WEEKLY INPUT'!L42/'WEEKLY INPUT'!F42*90,0)</f>
        <v/>
      </c>
      <c r="N42" s="5">
        <f>IFERROR('WEEKLY INPUT'!M42/'WEEKLY INPUT'!F42*90,0)</f>
        <v/>
      </c>
      <c r="O42" s="5">
        <f>IFERROR('WEEKLY INPUT'!N42/'WEEKLY INPUT'!F42*90,0)</f>
        <v/>
      </c>
      <c r="P42" s="5">
        <f>IFERROR('WEEKLY INPUT'!O42/'WEEKLY INPUT'!F42*90,0)</f>
        <v/>
      </c>
      <c r="Q42" s="5">
        <f>IFERROR(('WEEKLY INPUT'!J42*2+'WEEKLY INPUT'!K42*1+'WEEKLY INPUT'!O42*0.2)/'WEEKLY INPUT'!F42,0)</f>
        <v/>
      </c>
      <c r="R42" s="5">
        <f>MAX(0.25,MIN(1.15,(F42/540)*0.5+G42*0.5))</f>
        <v/>
      </c>
      <c r="S42" s="5">
        <f>MAX(0.70,MIN(1.10,0.85+0.15*G42))</f>
        <v/>
      </c>
      <c r="T42" s="5">
        <f>IF(A42="","",2*('WEEKLY INPUT'!P42/90)+(H42*5+I42*3)*('WEEKLY INPUT'!P42/90)+(P42*0.15)*('WEEKLY INPUT'!P42/90)+Q42*0.25)</f>
        <v/>
      </c>
      <c r="U42" s="5">
        <f>IF($A42="","",$T42*(1+($3-'WEEKLY INPUT'!R42)*0.10)*$R42*$S42*1.0)</f>
        <v/>
      </c>
      <c r="V42" s="5">
        <f>IF($A42="","",$T42*(1+($3-'WEEKLY INPUT'!S42)*0.10)*$R42*$S42*0.975)</f>
        <v/>
      </c>
      <c r="W42" s="5">
        <f>IF($A42="","",$T42*(1+($3-'WEEKLY INPUT'!T42)*0.10)*$R42*$S42*0.95)</f>
        <v/>
      </c>
      <c r="X42" s="5">
        <f>IF($A42="","",$T42*(1+($3-'WEEKLY INPUT'!U42)*0.10)*$R42*$S42*0.925)</f>
        <v/>
      </c>
      <c r="Y42" s="5">
        <f>IF($A42="","",$T42*(1+($3-'WEEKLY INPUT'!V42)*0.10)*$R42*$S42*0.9)</f>
        <v/>
      </c>
      <c r="Z42" s="5">
        <f>IF($A42="","",$T42*(1+($3-'WEEKLY INPUT'!W42)*0.10)*$R42*$S42*0.875)</f>
        <v/>
      </c>
      <c r="AA42" s="5">
        <f>IF($A42="","",$T42*(1+($3-'WEEKLY INPUT'!X42)*0.10)*$R42*$S42*0.85)</f>
        <v/>
      </c>
      <c r="AB42" s="5">
        <f>IF($A42="","",$T42*(1+($3-'WEEKLY INPUT'!Y42)*0.10)*$R42*$S42*0.825)</f>
        <v/>
      </c>
      <c r="AC42" s="5">
        <f>SUM(U42:AB42)</f>
        <v/>
      </c>
      <c r="AD42" s="5">
        <f>SUM(U42:Z42)</f>
        <v/>
      </c>
      <c r="AE42" s="5">
        <f>IFERROR(AD42/D42,0)</f>
        <v/>
      </c>
      <c r="AF42" s="5">
        <f>MAX(0,1-R42)</f>
        <v/>
      </c>
      <c r="AG42" s="5">
        <f>IFERROR((H42+I42)*R42*(1+0.10*(3-'WEEKLY INPUT'!R42)),"")</f>
        <v/>
      </c>
      <c r="AH42" s="5">
        <f>IFERROR(AG42/SUMPRODUCT($AG$6:$AG$205),"")</f>
        <v/>
      </c>
      <c r="AI42" s="5">
        <f>IFERROR(AD42*(1-AF42*0.5)*(1+0.15*AE42),0)</f>
        <v/>
      </c>
      <c r="AJ42" s="5">
        <f>IF(A42="","",RANK(AI42,$AI$6:$AI$205,0))</f>
        <v/>
      </c>
      <c r="AK42" s="5">
        <f>IFERROR('WEEKLY INPUT'!Z42,"")</f>
        <v/>
      </c>
    </row>
    <row r="43">
      <c r="A43" s="5">
        <f>IFERROR('WEEKLY INPUT'!A43,"")</f>
        <v/>
      </c>
      <c r="B43" s="5">
        <f>IFERROR('WEEKLY INPUT'!B43,"")</f>
        <v/>
      </c>
      <c r="C43" s="5">
        <f>IFERROR('WEEKLY INPUT'!C43,"")</f>
        <v/>
      </c>
      <c r="D43" s="5">
        <f>IFERROR('WEEKLY INPUT'!D43,0)</f>
        <v/>
      </c>
      <c r="E43" s="5">
        <f>IFERROR('WEEKLY INPUT'!E43,0)</f>
        <v/>
      </c>
      <c r="F43" s="5">
        <f>IFERROR('WEEKLY INPUT'!F43,0)</f>
        <v/>
      </c>
      <c r="G43" s="5">
        <f>IFERROR('WEEKLY INPUT'!Q43,0)</f>
        <v/>
      </c>
      <c r="H43" s="5">
        <f>IFERROR('WEEKLY INPUT'!H43/'WEEKLY INPUT'!F43*90,0)</f>
        <v/>
      </c>
      <c r="I43" s="5">
        <f>IFERROR('WEEKLY INPUT'!I43/'WEEKLY INPUT'!F43*90,0)</f>
        <v/>
      </c>
      <c r="J43" s="5">
        <f>H43+I43</f>
        <v/>
      </c>
      <c r="K43" s="5">
        <f>IFERROR('WEEKLY INPUT'!J43/'WEEKLY INPUT'!F43*90,0)</f>
        <v/>
      </c>
      <c r="L43" s="5">
        <f>IFERROR('WEEKLY INPUT'!K43/'WEEKLY INPUT'!F43*90,0)</f>
        <v/>
      </c>
      <c r="M43" s="5">
        <f>IFERROR('WEEKLY INPUT'!L43/'WEEKLY INPUT'!F43*90,0)</f>
        <v/>
      </c>
      <c r="N43" s="5">
        <f>IFERROR('WEEKLY INPUT'!M43/'WEEKLY INPUT'!F43*90,0)</f>
        <v/>
      </c>
      <c r="O43" s="5">
        <f>IFERROR('WEEKLY INPUT'!N43/'WEEKLY INPUT'!F43*90,0)</f>
        <v/>
      </c>
      <c r="P43" s="5">
        <f>IFERROR('WEEKLY INPUT'!O43/'WEEKLY INPUT'!F43*90,0)</f>
        <v/>
      </c>
      <c r="Q43" s="5">
        <f>IFERROR(('WEEKLY INPUT'!J43*2+'WEEKLY INPUT'!K43*1+'WEEKLY INPUT'!O43*0.2)/'WEEKLY INPUT'!F43,0)</f>
        <v/>
      </c>
      <c r="R43" s="5">
        <f>MAX(0.25,MIN(1.15,(F43/540)*0.5+G43*0.5))</f>
        <v/>
      </c>
      <c r="S43" s="5">
        <f>MAX(0.70,MIN(1.10,0.85+0.15*G43))</f>
        <v/>
      </c>
      <c r="T43" s="5">
        <f>IF(A43="","",2*('WEEKLY INPUT'!P43/90)+(H43*5+I43*3)*('WEEKLY INPUT'!P43/90)+(P43*0.15)*('WEEKLY INPUT'!P43/90)+Q43*0.25)</f>
        <v/>
      </c>
      <c r="U43" s="5">
        <f>IF($A43="","",$T43*(1+($3-'WEEKLY INPUT'!R43)*0.10)*$R43*$S43*1.0)</f>
        <v/>
      </c>
      <c r="V43" s="5">
        <f>IF($A43="","",$T43*(1+($3-'WEEKLY INPUT'!S43)*0.10)*$R43*$S43*0.975)</f>
        <v/>
      </c>
      <c r="W43" s="5">
        <f>IF($A43="","",$T43*(1+($3-'WEEKLY INPUT'!T43)*0.10)*$R43*$S43*0.95)</f>
        <v/>
      </c>
      <c r="X43" s="5">
        <f>IF($A43="","",$T43*(1+($3-'WEEKLY INPUT'!U43)*0.10)*$R43*$S43*0.925)</f>
        <v/>
      </c>
      <c r="Y43" s="5">
        <f>IF($A43="","",$T43*(1+($3-'WEEKLY INPUT'!V43)*0.10)*$R43*$S43*0.9)</f>
        <v/>
      </c>
      <c r="Z43" s="5">
        <f>IF($A43="","",$T43*(1+($3-'WEEKLY INPUT'!W43)*0.10)*$R43*$S43*0.875)</f>
        <v/>
      </c>
      <c r="AA43" s="5">
        <f>IF($A43="","",$T43*(1+($3-'WEEKLY INPUT'!X43)*0.10)*$R43*$S43*0.85)</f>
        <v/>
      </c>
      <c r="AB43" s="5">
        <f>IF($A43="","",$T43*(1+($3-'WEEKLY INPUT'!Y43)*0.10)*$R43*$S43*0.825)</f>
        <v/>
      </c>
      <c r="AC43" s="5">
        <f>SUM(U43:AB43)</f>
        <v/>
      </c>
      <c r="AD43" s="5">
        <f>SUM(U43:Z43)</f>
        <v/>
      </c>
      <c r="AE43" s="5">
        <f>IFERROR(AD43/D43,0)</f>
        <v/>
      </c>
      <c r="AF43" s="5">
        <f>MAX(0,1-R43)</f>
        <v/>
      </c>
      <c r="AG43" s="5">
        <f>IFERROR((H43+I43)*R43*(1+0.10*(3-'WEEKLY INPUT'!R43)),"")</f>
        <v/>
      </c>
      <c r="AH43" s="5">
        <f>IFERROR(AG43/SUMPRODUCT($AG$6:$AG$205),"")</f>
        <v/>
      </c>
      <c r="AI43" s="5">
        <f>IFERROR(AD43*(1-AF43*0.5)*(1+0.15*AE43),0)</f>
        <v/>
      </c>
      <c r="AJ43" s="5">
        <f>IF(A43="","",RANK(AI43,$AI$6:$AI$205,0))</f>
        <v/>
      </c>
      <c r="AK43" s="5">
        <f>IFERROR('WEEKLY INPUT'!Z43,"")</f>
        <v/>
      </c>
    </row>
    <row r="44">
      <c r="A44" s="5">
        <f>IFERROR('WEEKLY INPUT'!A44,"")</f>
        <v/>
      </c>
      <c r="B44" s="5">
        <f>IFERROR('WEEKLY INPUT'!B44,"")</f>
        <v/>
      </c>
      <c r="C44" s="5">
        <f>IFERROR('WEEKLY INPUT'!C44,"")</f>
        <v/>
      </c>
      <c r="D44" s="5">
        <f>IFERROR('WEEKLY INPUT'!D44,0)</f>
        <v/>
      </c>
      <c r="E44" s="5">
        <f>IFERROR('WEEKLY INPUT'!E44,0)</f>
        <v/>
      </c>
      <c r="F44" s="5">
        <f>IFERROR('WEEKLY INPUT'!F44,0)</f>
        <v/>
      </c>
      <c r="G44" s="5">
        <f>IFERROR('WEEKLY INPUT'!Q44,0)</f>
        <v/>
      </c>
      <c r="H44" s="5">
        <f>IFERROR('WEEKLY INPUT'!H44/'WEEKLY INPUT'!F44*90,0)</f>
        <v/>
      </c>
      <c r="I44" s="5">
        <f>IFERROR('WEEKLY INPUT'!I44/'WEEKLY INPUT'!F44*90,0)</f>
        <v/>
      </c>
      <c r="J44" s="5">
        <f>H44+I44</f>
        <v/>
      </c>
      <c r="K44" s="5">
        <f>IFERROR('WEEKLY INPUT'!J44/'WEEKLY INPUT'!F44*90,0)</f>
        <v/>
      </c>
      <c r="L44" s="5">
        <f>IFERROR('WEEKLY INPUT'!K44/'WEEKLY INPUT'!F44*90,0)</f>
        <v/>
      </c>
      <c r="M44" s="5">
        <f>IFERROR('WEEKLY INPUT'!L44/'WEEKLY INPUT'!F44*90,0)</f>
        <v/>
      </c>
      <c r="N44" s="5">
        <f>IFERROR('WEEKLY INPUT'!M44/'WEEKLY INPUT'!F44*90,0)</f>
        <v/>
      </c>
      <c r="O44" s="5">
        <f>IFERROR('WEEKLY INPUT'!N44/'WEEKLY INPUT'!F44*90,0)</f>
        <v/>
      </c>
      <c r="P44" s="5">
        <f>IFERROR('WEEKLY INPUT'!O44/'WEEKLY INPUT'!F44*90,0)</f>
        <v/>
      </c>
      <c r="Q44" s="5">
        <f>IFERROR(('WEEKLY INPUT'!J44*2+'WEEKLY INPUT'!K44*1+'WEEKLY INPUT'!O44*0.2)/'WEEKLY INPUT'!F44,0)</f>
        <v/>
      </c>
      <c r="R44" s="5">
        <f>MAX(0.25,MIN(1.15,(F44/540)*0.5+G44*0.5))</f>
        <v/>
      </c>
      <c r="S44" s="5">
        <f>MAX(0.70,MIN(1.10,0.85+0.15*G44))</f>
        <v/>
      </c>
      <c r="T44" s="5">
        <f>IF(A44="","",2*('WEEKLY INPUT'!P44/90)+(H44*5+I44*3)*('WEEKLY INPUT'!P44/90)+(P44*0.15)*('WEEKLY INPUT'!P44/90)+Q44*0.25)</f>
        <v/>
      </c>
      <c r="U44" s="5">
        <f>IF($A44="","",$T44*(1+($3-'WEEKLY INPUT'!R44)*0.10)*$R44*$S44*1.0)</f>
        <v/>
      </c>
      <c r="V44" s="5">
        <f>IF($A44="","",$T44*(1+($3-'WEEKLY INPUT'!S44)*0.10)*$R44*$S44*0.975)</f>
        <v/>
      </c>
      <c r="W44" s="5">
        <f>IF($A44="","",$T44*(1+($3-'WEEKLY INPUT'!T44)*0.10)*$R44*$S44*0.95)</f>
        <v/>
      </c>
      <c r="X44" s="5">
        <f>IF($A44="","",$T44*(1+($3-'WEEKLY INPUT'!U44)*0.10)*$R44*$S44*0.925)</f>
        <v/>
      </c>
      <c r="Y44" s="5">
        <f>IF($A44="","",$T44*(1+($3-'WEEKLY INPUT'!V44)*0.10)*$R44*$S44*0.9)</f>
        <v/>
      </c>
      <c r="Z44" s="5">
        <f>IF($A44="","",$T44*(1+($3-'WEEKLY INPUT'!W44)*0.10)*$R44*$S44*0.875)</f>
        <v/>
      </c>
      <c r="AA44" s="5">
        <f>IF($A44="","",$T44*(1+($3-'WEEKLY INPUT'!X44)*0.10)*$R44*$S44*0.85)</f>
        <v/>
      </c>
      <c r="AB44" s="5">
        <f>IF($A44="","",$T44*(1+($3-'WEEKLY INPUT'!Y44)*0.10)*$R44*$S44*0.825)</f>
        <v/>
      </c>
      <c r="AC44" s="5">
        <f>SUM(U44:AB44)</f>
        <v/>
      </c>
      <c r="AD44" s="5">
        <f>SUM(U44:Z44)</f>
        <v/>
      </c>
      <c r="AE44" s="5">
        <f>IFERROR(AD44/D44,0)</f>
        <v/>
      </c>
      <c r="AF44" s="5">
        <f>MAX(0,1-R44)</f>
        <v/>
      </c>
      <c r="AG44" s="5">
        <f>IFERROR((H44+I44)*R44*(1+0.10*(3-'WEEKLY INPUT'!R44)),"")</f>
        <v/>
      </c>
      <c r="AH44" s="5">
        <f>IFERROR(AG44/SUMPRODUCT($AG$6:$AG$205),"")</f>
        <v/>
      </c>
      <c r="AI44" s="5">
        <f>IFERROR(AD44*(1-AF44*0.5)*(1+0.15*AE44),0)</f>
        <v/>
      </c>
      <c r="AJ44" s="5">
        <f>IF(A44="","",RANK(AI44,$AI$6:$AI$205,0))</f>
        <v/>
      </c>
      <c r="AK44" s="5">
        <f>IFERROR('WEEKLY INPUT'!Z44,"")</f>
        <v/>
      </c>
    </row>
    <row r="45">
      <c r="A45" s="5">
        <f>IFERROR('WEEKLY INPUT'!A45,"")</f>
        <v/>
      </c>
      <c r="B45" s="5">
        <f>IFERROR('WEEKLY INPUT'!B45,"")</f>
        <v/>
      </c>
      <c r="C45" s="5">
        <f>IFERROR('WEEKLY INPUT'!C45,"")</f>
        <v/>
      </c>
      <c r="D45" s="5">
        <f>IFERROR('WEEKLY INPUT'!D45,0)</f>
        <v/>
      </c>
      <c r="E45" s="5">
        <f>IFERROR('WEEKLY INPUT'!E45,0)</f>
        <v/>
      </c>
      <c r="F45" s="5">
        <f>IFERROR('WEEKLY INPUT'!F45,0)</f>
        <v/>
      </c>
      <c r="G45" s="5">
        <f>IFERROR('WEEKLY INPUT'!Q45,0)</f>
        <v/>
      </c>
      <c r="H45" s="5">
        <f>IFERROR('WEEKLY INPUT'!H45/'WEEKLY INPUT'!F45*90,0)</f>
        <v/>
      </c>
      <c r="I45" s="5">
        <f>IFERROR('WEEKLY INPUT'!I45/'WEEKLY INPUT'!F45*90,0)</f>
        <v/>
      </c>
      <c r="J45" s="5">
        <f>H45+I45</f>
        <v/>
      </c>
      <c r="K45" s="5">
        <f>IFERROR('WEEKLY INPUT'!J45/'WEEKLY INPUT'!F45*90,0)</f>
        <v/>
      </c>
      <c r="L45" s="5">
        <f>IFERROR('WEEKLY INPUT'!K45/'WEEKLY INPUT'!F45*90,0)</f>
        <v/>
      </c>
      <c r="M45" s="5">
        <f>IFERROR('WEEKLY INPUT'!L45/'WEEKLY INPUT'!F45*90,0)</f>
        <v/>
      </c>
      <c r="N45" s="5">
        <f>IFERROR('WEEKLY INPUT'!M45/'WEEKLY INPUT'!F45*90,0)</f>
        <v/>
      </c>
      <c r="O45" s="5">
        <f>IFERROR('WEEKLY INPUT'!N45/'WEEKLY INPUT'!F45*90,0)</f>
        <v/>
      </c>
      <c r="P45" s="5">
        <f>IFERROR('WEEKLY INPUT'!O45/'WEEKLY INPUT'!F45*90,0)</f>
        <v/>
      </c>
      <c r="Q45" s="5">
        <f>IFERROR(('WEEKLY INPUT'!J45*2+'WEEKLY INPUT'!K45*1+'WEEKLY INPUT'!O45*0.2)/'WEEKLY INPUT'!F45,0)</f>
        <v/>
      </c>
      <c r="R45" s="5">
        <f>MAX(0.25,MIN(1.15,(F45/540)*0.5+G45*0.5))</f>
        <v/>
      </c>
      <c r="S45" s="5">
        <f>MAX(0.70,MIN(1.10,0.85+0.15*G45))</f>
        <v/>
      </c>
      <c r="T45" s="5">
        <f>IF(A45="","",2*('WEEKLY INPUT'!P45/90)+(H45*5+I45*3)*('WEEKLY INPUT'!P45/90)+(P45*0.15)*('WEEKLY INPUT'!P45/90)+Q45*0.25)</f>
        <v/>
      </c>
      <c r="U45" s="5">
        <f>IF($A45="","",$T45*(1+($3-'WEEKLY INPUT'!R45)*0.10)*$R45*$S45*1.0)</f>
        <v/>
      </c>
      <c r="V45" s="5">
        <f>IF($A45="","",$T45*(1+($3-'WEEKLY INPUT'!S45)*0.10)*$R45*$S45*0.975)</f>
        <v/>
      </c>
      <c r="W45" s="5">
        <f>IF($A45="","",$T45*(1+($3-'WEEKLY INPUT'!T45)*0.10)*$R45*$S45*0.95)</f>
        <v/>
      </c>
      <c r="X45" s="5">
        <f>IF($A45="","",$T45*(1+($3-'WEEKLY INPUT'!U45)*0.10)*$R45*$S45*0.925)</f>
        <v/>
      </c>
      <c r="Y45" s="5">
        <f>IF($A45="","",$T45*(1+($3-'WEEKLY INPUT'!V45)*0.10)*$R45*$S45*0.9)</f>
        <v/>
      </c>
      <c r="Z45" s="5">
        <f>IF($A45="","",$T45*(1+($3-'WEEKLY INPUT'!W45)*0.10)*$R45*$S45*0.875)</f>
        <v/>
      </c>
      <c r="AA45" s="5">
        <f>IF($A45="","",$T45*(1+($3-'WEEKLY INPUT'!X45)*0.10)*$R45*$S45*0.85)</f>
        <v/>
      </c>
      <c r="AB45" s="5">
        <f>IF($A45="","",$T45*(1+($3-'WEEKLY INPUT'!Y45)*0.10)*$R45*$S45*0.825)</f>
        <v/>
      </c>
      <c r="AC45" s="5">
        <f>SUM(U45:AB45)</f>
        <v/>
      </c>
      <c r="AD45" s="5">
        <f>SUM(U45:Z45)</f>
        <v/>
      </c>
      <c r="AE45" s="5">
        <f>IFERROR(AD45/D45,0)</f>
        <v/>
      </c>
      <c r="AF45" s="5">
        <f>MAX(0,1-R45)</f>
        <v/>
      </c>
      <c r="AG45" s="5">
        <f>IFERROR((H45+I45)*R45*(1+0.10*(3-'WEEKLY INPUT'!R45)),"")</f>
        <v/>
      </c>
      <c r="AH45" s="5">
        <f>IFERROR(AG45/SUMPRODUCT($AG$6:$AG$205),"")</f>
        <v/>
      </c>
      <c r="AI45" s="5">
        <f>IFERROR(AD45*(1-AF45*0.5)*(1+0.15*AE45),0)</f>
        <v/>
      </c>
      <c r="AJ45" s="5">
        <f>IF(A45="","",RANK(AI45,$AI$6:$AI$205,0))</f>
        <v/>
      </c>
      <c r="AK45" s="5">
        <f>IFERROR('WEEKLY INPUT'!Z45,"")</f>
        <v/>
      </c>
    </row>
    <row r="46">
      <c r="A46" s="5">
        <f>IFERROR('WEEKLY INPUT'!A46,"")</f>
        <v/>
      </c>
      <c r="B46" s="5">
        <f>IFERROR('WEEKLY INPUT'!B46,"")</f>
        <v/>
      </c>
      <c r="C46" s="5">
        <f>IFERROR('WEEKLY INPUT'!C46,"")</f>
        <v/>
      </c>
      <c r="D46" s="5">
        <f>IFERROR('WEEKLY INPUT'!D46,0)</f>
        <v/>
      </c>
      <c r="E46" s="5">
        <f>IFERROR('WEEKLY INPUT'!E46,0)</f>
        <v/>
      </c>
      <c r="F46" s="5">
        <f>IFERROR('WEEKLY INPUT'!F46,0)</f>
        <v/>
      </c>
      <c r="G46" s="5">
        <f>IFERROR('WEEKLY INPUT'!Q46,0)</f>
        <v/>
      </c>
      <c r="H46" s="5">
        <f>IFERROR('WEEKLY INPUT'!H46/'WEEKLY INPUT'!F46*90,0)</f>
        <v/>
      </c>
      <c r="I46" s="5">
        <f>IFERROR('WEEKLY INPUT'!I46/'WEEKLY INPUT'!F46*90,0)</f>
        <v/>
      </c>
      <c r="J46" s="5">
        <f>H46+I46</f>
        <v/>
      </c>
      <c r="K46" s="5">
        <f>IFERROR('WEEKLY INPUT'!J46/'WEEKLY INPUT'!F46*90,0)</f>
        <v/>
      </c>
      <c r="L46" s="5">
        <f>IFERROR('WEEKLY INPUT'!K46/'WEEKLY INPUT'!F46*90,0)</f>
        <v/>
      </c>
      <c r="M46" s="5">
        <f>IFERROR('WEEKLY INPUT'!L46/'WEEKLY INPUT'!F46*90,0)</f>
        <v/>
      </c>
      <c r="N46" s="5">
        <f>IFERROR('WEEKLY INPUT'!M46/'WEEKLY INPUT'!F46*90,0)</f>
        <v/>
      </c>
      <c r="O46" s="5">
        <f>IFERROR('WEEKLY INPUT'!N46/'WEEKLY INPUT'!F46*90,0)</f>
        <v/>
      </c>
      <c r="P46" s="5">
        <f>IFERROR('WEEKLY INPUT'!O46/'WEEKLY INPUT'!F46*90,0)</f>
        <v/>
      </c>
      <c r="Q46" s="5">
        <f>IFERROR(('WEEKLY INPUT'!J46*2+'WEEKLY INPUT'!K46*1+'WEEKLY INPUT'!O46*0.2)/'WEEKLY INPUT'!F46,0)</f>
        <v/>
      </c>
      <c r="R46" s="5">
        <f>MAX(0.25,MIN(1.15,(F46/540)*0.5+G46*0.5))</f>
        <v/>
      </c>
      <c r="S46" s="5">
        <f>MAX(0.70,MIN(1.10,0.85+0.15*G46))</f>
        <v/>
      </c>
      <c r="T46" s="5">
        <f>IF(A46="","",2*('WEEKLY INPUT'!P46/90)+(H46*5+I46*3)*('WEEKLY INPUT'!P46/90)+(P46*0.15)*('WEEKLY INPUT'!P46/90)+Q46*0.25)</f>
        <v/>
      </c>
      <c r="U46" s="5">
        <f>IF($A46="","",$T46*(1+($3-'WEEKLY INPUT'!R46)*0.10)*$R46*$S46*1.0)</f>
        <v/>
      </c>
      <c r="V46" s="5">
        <f>IF($A46="","",$T46*(1+($3-'WEEKLY INPUT'!S46)*0.10)*$R46*$S46*0.975)</f>
        <v/>
      </c>
      <c r="W46" s="5">
        <f>IF($A46="","",$T46*(1+($3-'WEEKLY INPUT'!T46)*0.10)*$R46*$S46*0.95)</f>
        <v/>
      </c>
      <c r="X46" s="5">
        <f>IF($A46="","",$T46*(1+($3-'WEEKLY INPUT'!U46)*0.10)*$R46*$S46*0.925)</f>
        <v/>
      </c>
      <c r="Y46" s="5">
        <f>IF($A46="","",$T46*(1+($3-'WEEKLY INPUT'!V46)*0.10)*$R46*$S46*0.9)</f>
        <v/>
      </c>
      <c r="Z46" s="5">
        <f>IF($A46="","",$T46*(1+($3-'WEEKLY INPUT'!W46)*0.10)*$R46*$S46*0.875)</f>
        <v/>
      </c>
      <c r="AA46" s="5">
        <f>IF($A46="","",$T46*(1+($3-'WEEKLY INPUT'!X46)*0.10)*$R46*$S46*0.85)</f>
        <v/>
      </c>
      <c r="AB46" s="5">
        <f>IF($A46="","",$T46*(1+($3-'WEEKLY INPUT'!Y46)*0.10)*$R46*$S46*0.825)</f>
        <v/>
      </c>
      <c r="AC46" s="5">
        <f>SUM(U46:AB46)</f>
        <v/>
      </c>
      <c r="AD46" s="5">
        <f>SUM(U46:Z46)</f>
        <v/>
      </c>
      <c r="AE46" s="5">
        <f>IFERROR(AD46/D46,0)</f>
        <v/>
      </c>
      <c r="AF46" s="5">
        <f>MAX(0,1-R46)</f>
        <v/>
      </c>
      <c r="AG46" s="5">
        <f>IFERROR((H46+I46)*R46*(1+0.10*(3-'WEEKLY INPUT'!R46)),"")</f>
        <v/>
      </c>
      <c r="AH46" s="5">
        <f>IFERROR(AG46/SUMPRODUCT($AG$6:$AG$205),"")</f>
        <v/>
      </c>
      <c r="AI46" s="5">
        <f>IFERROR(AD46*(1-AF46*0.5)*(1+0.15*AE46),0)</f>
        <v/>
      </c>
      <c r="AJ46" s="5">
        <f>IF(A46="","",RANK(AI46,$AI$6:$AI$205,0))</f>
        <v/>
      </c>
      <c r="AK46" s="5">
        <f>IFERROR('WEEKLY INPUT'!Z46,"")</f>
        <v/>
      </c>
    </row>
    <row r="47">
      <c r="A47" s="5">
        <f>IFERROR('WEEKLY INPUT'!A47,"")</f>
        <v/>
      </c>
      <c r="B47" s="5">
        <f>IFERROR('WEEKLY INPUT'!B47,"")</f>
        <v/>
      </c>
      <c r="C47" s="5">
        <f>IFERROR('WEEKLY INPUT'!C47,"")</f>
        <v/>
      </c>
      <c r="D47" s="5">
        <f>IFERROR('WEEKLY INPUT'!D47,0)</f>
        <v/>
      </c>
      <c r="E47" s="5">
        <f>IFERROR('WEEKLY INPUT'!E47,0)</f>
        <v/>
      </c>
      <c r="F47" s="5">
        <f>IFERROR('WEEKLY INPUT'!F47,0)</f>
        <v/>
      </c>
      <c r="G47" s="5">
        <f>IFERROR('WEEKLY INPUT'!Q47,0)</f>
        <v/>
      </c>
      <c r="H47" s="5">
        <f>IFERROR('WEEKLY INPUT'!H47/'WEEKLY INPUT'!F47*90,0)</f>
        <v/>
      </c>
      <c r="I47" s="5">
        <f>IFERROR('WEEKLY INPUT'!I47/'WEEKLY INPUT'!F47*90,0)</f>
        <v/>
      </c>
      <c r="J47" s="5">
        <f>H47+I47</f>
        <v/>
      </c>
      <c r="K47" s="5">
        <f>IFERROR('WEEKLY INPUT'!J47/'WEEKLY INPUT'!F47*90,0)</f>
        <v/>
      </c>
      <c r="L47" s="5">
        <f>IFERROR('WEEKLY INPUT'!K47/'WEEKLY INPUT'!F47*90,0)</f>
        <v/>
      </c>
      <c r="M47" s="5">
        <f>IFERROR('WEEKLY INPUT'!L47/'WEEKLY INPUT'!F47*90,0)</f>
        <v/>
      </c>
      <c r="N47" s="5">
        <f>IFERROR('WEEKLY INPUT'!M47/'WEEKLY INPUT'!F47*90,0)</f>
        <v/>
      </c>
      <c r="O47" s="5">
        <f>IFERROR('WEEKLY INPUT'!N47/'WEEKLY INPUT'!F47*90,0)</f>
        <v/>
      </c>
      <c r="P47" s="5">
        <f>IFERROR('WEEKLY INPUT'!O47/'WEEKLY INPUT'!F47*90,0)</f>
        <v/>
      </c>
      <c r="Q47" s="5">
        <f>IFERROR(('WEEKLY INPUT'!J47*2+'WEEKLY INPUT'!K47*1+'WEEKLY INPUT'!O47*0.2)/'WEEKLY INPUT'!F47,0)</f>
        <v/>
      </c>
      <c r="R47" s="5">
        <f>MAX(0.25,MIN(1.15,(F47/540)*0.5+G47*0.5))</f>
        <v/>
      </c>
      <c r="S47" s="5">
        <f>MAX(0.70,MIN(1.10,0.85+0.15*G47))</f>
        <v/>
      </c>
      <c r="T47" s="5">
        <f>IF(A47="","",2*('WEEKLY INPUT'!P47/90)+(H47*5+I47*3)*('WEEKLY INPUT'!P47/90)+(P47*0.15)*('WEEKLY INPUT'!P47/90)+Q47*0.25)</f>
        <v/>
      </c>
      <c r="U47" s="5">
        <f>IF($A47="","",$T47*(1+($3-'WEEKLY INPUT'!R47)*0.10)*$R47*$S47*1.0)</f>
        <v/>
      </c>
      <c r="V47" s="5">
        <f>IF($A47="","",$T47*(1+($3-'WEEKLY INPUT'!S47)*0.10)*$R47*$S47*0.975)</f>
        <v/>
      </c>
      <c r="W47" s="5">
        <f>IF($A47="","",$T47*(1+($3-'WEEKLY INPUT'!T47)*0.10)*$R47*$S47*0.95)</f>
        <v/>
      </c>
      <c r="X47" s="5">
        <f>IF($A47="","",$T47*(1+($3-'WEEKLY INPUT'!U47)*0.10)*$R47*$S47*0.925)</f>
        <v/>
      </c>
      <c r="Y47" s="5">
        <f>IF($A47="","",$T47*(1+($3-'WEEKLY INPUT'!V47)*0.10)*$R47*$S47*0.9)</f>
        <v/>
      </c>
      <c r="Z47" s="5">
        <f>IF($A47="","",$T47*(1+($3-'WEEKLY INPUT'!W47)*0.10)*$R47*$S47*0.875)</f>
        <v/>
      </c>
      <c r="AA47" s="5">
        <f>IF($A47="","",$T47*(1+($3-'WEEKLY INPUT'!X47)*0.10)*$R47*$S47*0.85)</f>
        <v/>
      </c>
      <c r="AB47" s="5">
        <f>IF($A47="","",$T47*(1+($3-'WEEKLY INPUT'!Y47)*0.10)*$R47*$S47*0.825)</f>
        <v/>
      </c>
      <c r="AC47" s="5">
        <f>SUM(U47:AB47)</f>
        <v/>
      </c>
      <c r="AD47" s="5">
        <f>SUM(U47:Z47)</f>
        <v/>
      </c>
      <c r="AE47" s="5">
        <f>IFERROR(AD47/D47,0)</f>
        <v/>
      </c>
      <c r="AF47" s="5">
        <f>MAX(0,1-R47)</f>
        <v/>
      </c>
      <c r="AG47" s="5">
        <f>IFERROR((H47+I47)*R47*(1+0.10*(3-'WEEKLY INPUT'!R47)),"")</f>
        <v/>
      </c>
      <c r="AH47" s="5">
        <f>IFERROR(AG47/SUMPRODUCT($AG$6:$AG$205),"")</f>
        <v/>
      </c>
      <c r="AI47" s="5">
        <f>IFERROR(AD47*(1-AF47*0.5)*(1+0.15*AE47),0)</f>
        <v/>
      </c>
      <c r="AJ47" s="5">
        <f>IF(A47="","",RANK(AI47,$AI$6:$AI$205,0))</f>
        <v/>
      </c>
      <c r="AK47" s="5">
        <f>IFERROR('WEEKLY INPUT'!Z47,"")</f>
        <v/>
      </c>
    </row>
    <row r="48">
      <c r="A48" s="5">
        <f>IFERROR('WEEKLY INPUT'!A48,"")</f>
        <v/>
      </c>
      <c r="B48" s="5">
        <f>IFERROR('WEEKLY INPUT'!B48,"")</f>
        <v/>
      </c>
      <c r="C48" s="5">
        <f>IFERROR('WEEKLY INPUT'!C48,"")</f>
        <v/>
      </c>
      <c r="D48" s="5">
        <f>IFERROR('WEEKLY INPUT'!D48,0)</f>
        <v/>
      </c>
      <c r="E48" s="5">
        <f>IFERROR('WEEKLY INPUT'!E48,0)</f>
        <v/>
      </c>
      <c r="F48" s="5">
        <f>IFERROR('WEEKLY INPUT'!F48,0)</f>
        <v/>
      </c>
      <c r="G48" s="5">
        <f>IFERROR('WEEKLY INPUT'!Q48,0)</f>
        <v/>
      </c>
      <c r="H48" s="5">
        <f>IFERROR('WEEKLY INPUT'!H48/'WEEKLY INPUT'!F48*90,0)</f>
        <v/>
      </c>
      <c r="I48" s="5">
        <f>IFERROR('WEEKLY INPUT'!I48/'WEEKLY INPUT'!F48*90,0)</f>
        <v/>
      </c>
      <c r="J48" s="5">
        <f>H48+I48</f>
        <v/>
      </c>
      <c r="K48" s="5">
        <f>IFERROR('WEEKLY INPUT'!J48/'WEEKLY INPUT'!F48*90,0)</f>
        <v/>
      </c>
      <c r="L48" s="5">
        <f>IFERROR('WEEKLY INPUT'!K48/'WEEKLY INPUT'!F48*90,0)</f>
        <v/>
      </c>
      <c r="M48" s="5">
        <f>IFERROR('WEEKLY INPUT'!L48/'WEEKLY INPUT'!F48*90,0)</f>
        <v/>
      </c>
      <c r="N48" s="5">
        <f>IFERROR('WEEKLY INPUT'!M48/'WEEKLY INPUT'!F48*90,0)</f>
        <v/>
      </c>
      <c r="O48" s="5">
        <f>IFERROR('WEEKLY INPUT'!N48/'WEEKLY INPUT'!F48*90,0)</f>
        <v/>
      </c>
      <c r="P48" s="5">
        <f>IFERROR('WEEKLY INPUT'!O48/'WEEKLY INPUT'!F48*90,0)</f>
        <v/>
      </c>
      <c r="Q48" s="5">
        <f>IFERROR(('WEEKLY INPUT'!J48*2+'WEEKLY INPUT'!K48*1+'WEEKLY INPUT'!O48*0.2)/'WEEKLY INPUT'!F48,0)</f>
        <v/>
      </c>
      <c r="R48" s="5">
        <f>MAX(0.25,MIN(1.15,(F48/540)*0.5+G48*0.5))</f>
        <v/>
      </c>
      <c r="S48" s="5">
        <f>MAX(0.70,MIN(1.10,0.85+0.15*G48))</f>
        <v/>
      </c>
      <c r="T48" s="5">
        <f>IF(A48="","",2*('WEEKLY INPUT'!P48/90)+(H48*5+I48*3)*('WEEKLY INPUT'!P48/90)+(P48*0.15)*('WEEKLY INPUT'!P48/90)+Q48*0.25)</f>
        <v/>
      </c>
      <c r="U48" s="5">
        <f>IF($A48="","",$T48*(1+($3-'WEEKLY INPUT'!R48)*0.10)*$R48*$S48*1.0)</f>
        <v/>
      </c>
      <c r="V48" s="5">
        <f>IF($A48="","",$T48*(1+($3-'WEEKLY INPUT'!S48)*0.10)*$R48*$S48*0.975)</f>
        <v/>
      </c>
      <c r="W48" s="5">
        <f>IF($A48="","",$T48*(1+($3-'WEEKLY INPUT'!T48)*0.10)*$R48*$S48*0.95)</f>
        <v/>
      </c>
      <c r="X48" s="5">
        <f>IF($A48="","",$T48*(1+($3-'WEEKLY INPUT'!U48)*0.10)*$R48*$S48*0.925)</f>
        <v/>
      </c>
      <c r="Y48" s="5">
        <f>IF($A48="","",$T48*(1+($3-'WEEKLY INPUT'!V48)*0.10)*$R48*$S48*0.9)</f>
        <v/>
      </c>
      <c r="Z48" s="5">
        <f>IF($A48="","",$T48*(1+($3-'WEEKLY INPUT'!W48)*0.10)*$R48*$S48*0.875)</f>
        <v/>
      </c>
      <c r="AA48" s="5">
        <f>IF($A48="","",$T48*(1+($3-'WEEKLY INPUT'!X48)*0.10)*$R48*$S48*0.85)</f>
        <v/>
      </c>
      <c r="AB48" s="5">
        <f>IF($A48="","",$T48*(1+($3-'WEEKLY INPUT'!Y48)*0.10)*$R48*$S48*0.825)</f>
        <v/>
      </c>
      <c r="AC48" s="5">
        <f>SUM(U48:AB48)</f>
        <v/>
      </c>
      <c r="AD48" s="5">
        <f>SUM(U48:Z48)</f>
        <v/>
      </c>
      <c r="AE48" s="5">
        <f>IFERROR(AD48/D48,0)</f>
        <v/>
      </c>
      <c r="AF48" s="5">
        <f>MAX(0,1-R48)</f>
        <v/>
      </c>
      <c r="AG48" s="5">
        <f>IFERROR((H48+I48)*R48*(1+0.10*(3-'WEEKLY INPUT'!R48)),"")</f>
        <v/>
      </c>
      <c r="AH48" s="5">
        <f>IFERROR(AG48/SUMPRODUCT($AG$6:$AG$205),"")</f>
        <v/>
      </c>
      <c r="AI48" s="5">
        <f>IFERROR(AD48*(1-AF48*0.5)*(1+0.15*AE48),0)</f>
        <v/>
      </c>
      <c r="AJ48" s="5">
        <f>IF(A48="","",RANK(AI48,$AI$6:$AI$205,0))</f>
        <v/>
      </c>
      <c r="AK48" s="5">
        <f>IFERROR('WEEKLY INPUT'!Z48,"")</f>
        <v/>
      </c>
    </row>
    <row r="49">
      <c r="A49" s="5">
        <f>IFERROR('WEEKLY INPUT'!A49,"")</f>
        <v/>
      </c>
      <c r="B49" s="5">
        <f>IFERROR('WEEKLY INPUT'!B49,"")</f>
        <v/>
      </c>
      <c r="C49" s="5">
        <f>IFERROR('WEEKLY INPUT'!C49,"")</f>
        <v/>
      </c>
      <c r="D49" s="5">
        <f>IFERROR('WEEKLY INPUT'!D49,0)</f>
        <v/>
      </c>
      <c r="E49" s="5">
        <f>IFERROR('WEEKLY INPUT'!E49,0)</f>
        <v/>
      </c>
      <c r="F49" s="5">
        <f>IFERROR('WEEKLY INPUT'!F49,0)</f>
        <v/>
      </c>
      <c r="G49" s="5">
        <f>IFERROR('WEEKLY INPUT'!Q49,0)</f>
        <v/>
      </c>
      <c r="H49" s="5">
        <f>IFERROR('WEEKLY INPUT'!H49/'WEEKLY INPUT'!F49*90,0)</f>
        <v/>
      </c>
      <c r="I49" s="5">
        <f>IFERROR('WEEKLY INPUT'!I49/'WEEKLY INPUT'!F49*90,0)</f>
        <v/>
      </c>
      <c r="J49" s="5">
        <f>H49+I49</f>
        <v/>
      </c>
      <c r="K49" s="5">
        <f>IFERROR('WEEKLY INPUT'!J49/'WEEKLY INPUT'!F49*90,0)</f>
        <v/>
      </c>
      <c r="L49" s="5">
        <f>IFERROR('WEEKLY INPUT'!K49/'WEEKLY INPUT'!F49*90,0)</f>
        <v/>
      </c>
      <c r="M49" s="5">
        <f>IFERROR('WEEKLY INPUT'!L49/'WEEKLY INPUT'!F49*90,0)</f>
        <v/>
      </c>
      <c r="N49" s="5">
        <f>IFERROR('WEEKLY INPUT'!M49/'WEEKLY INPUT'!F49*90,0)</f>
        <v/>
      </c>
      <c r="O49" s="5">
        <f>IFERROR('WEEKLY INPUT'!N49/'WEEKLY INPUT'!F49*90,0)</f>
        <v/>
      </c>
      <c r="P49" s="5">
        <f>IFERROR('WEEKLY INPUT'!O49/'WEEKLY INPUT'!F49*90,0)</f>
        <v/>
      </c>
      <c r="Q49" s="5">
        <f>IFERROR(('WEEKLY INPUT'!J49*2+'WEEKLY INPUT'!K49*1+'WEEKLY INPUT'!O49*0.2)/'WEEKLY INPUT'!F49,0)</f>
        <v/>
      </c>
      <c r="R49" s="5">
        <f>MAX(0.25,MIN(1.15,(F49/540)*0.5+G49*0.5))</f>
        <v/>
      </c>
      <c r="S49" s="5">
        <f>MAX(0.70,MIN(1.10,0.85+0.15*G49))</f>
        <v/>
      </c>
      <c r="T49" s="5">
        <f>IF(A49="","",2*('WEEKLY INPUT'!P49/90)+(H49*5+I49*3)*('WEEKLY INPUT'!P49/90)+(P49*0.15)*('WEEKLY INPUT'!P49/90)+Q49*0.25)</f>
        <v/>
      </c>
      <c r="U49" s="5">
        <f>IF($A49="","",$T49*(1+($3-'WEEKLY INPUT'!R49)*0.10)*$R49*$S49*1.0)</f>
        <v/>
      </c>
      <c r="V49" s="5">
        <f>IF($A49="","",$T49*(1+($3-'WEEKLY INPUT'!S49)*0.10)*$R49*$S49*0.975)</f>
        <v/>
      </c>
      <c r="W49" s="5">
        <f>IF($A49="","",$T49*(1+($3-'WEEKLY INPUT'!T49)*0.10)*$R49*$S49*0.95)</f>
        <v/>
      </c>
      <c r="X49" s="5">
        <f>IF($A49="","",$T49*(1+($3-'WEEKLY INPUT'!U49)*0.10)*$R49*$S49*0.925)</f>
        <v/>
      </c>
      <c r="Y49" s="5">
        <f>IF($A49="","",$T49*(1+($3-'WEEKLY INPUT'!V49)*0.10)*$R49*$S49*0.9)</f>
        <v/>
      </c>
      <c r="Z49" s="5">
        <f>IF($A49="","",$T49*(1+($3-'WEEKLY INPUT'!W49)*0.10)*$R49*$S49*0.875)</f>
        <v/>
      </c>
      <c r="AA49" s="5">
        <f>IF($A49="","",$T49*(1+($3-'WEEKLY INPUT'!X49)*0.10)*$R49*$S49*0.85)</f>
        <v/>
      </c>
      <c r="AB49" s="5">
        <f>IF($A49="","",$T49*(1+($3-'WEEKLY INPUT'!Y49)*0.10)*$R49*$S49*0.825)</f>
        <v/>
      </c>
      <c r="AC49" s="5">
        <f>SUM(U49:AB49)</f>
        <v/>
      </c>
      <c r="AD49" s="5">
        <f>SUM(U49:Z49)</f>
        <v/>
      </c>
      <c r="AE49" s="5">
        <f>IFERROR(AD49/D49,0)</f>
        <v/>
      </c>
      <c r="AF49" s="5">
        <f>MAX(0,1-R49)</f>
        <v/>
      </c>
      <c r="AG49" s="5">
        <f>IFERROR((H49+I49)*R49*(1+0.10*(3-'WEEKLY INPUT'!R49)),"")</f>
        <v/>
      </c>
      <c r="AH49" s="5">
        <f>IFERROR(AG49/SUMPRODUCT($AG$6:$AG$205),"")</f>
        <v/>
      </c>
      <c r="AI49" s="5">
        <f>IFERROR(AD49*(1-AF49*0.5)*(1+0.15*AE49),0)</f>
        <v/>
      </c>
      <c r="AJ49" s="5">
        <f>IF(A49="","",RANK(AI49,$AI$6:$AI$205,0))</f>
        <v/>
      </c>
      <c r="AK49" s="5">
        <f>IFERROR('WEEKLY INPUT'!Z49,"")</f>
        <v/>
      </c>
    </row>
    <row r="50">
      <c r="A50" s="5">
        <f>IFERROR('WEEKLY INPUT'!A50,"")</f>
        <v/>
      </c>
      <c r="B50" s="5">
        <f>IFERROR('WEEKLY INPUT'!B50,"")</f>
        <v/>
      </c>
      <c r="C50" s="5">
        <f>IFERROR('WEEKLY INPUT'!C50,"")</f>
        <v/>
      </c>
      <c r="D50" s="5">
        <f>IFERROR('WEEKLY INPUT'!D50,0)</f>
        <v/>
      </c>
      <c r="E50" s="5">
        <f>IFERROR('WEEKLY INPUT'!E50,0)</f>
        <v/>
      </c>
      <c r="F50" s="5">
        <f>IFERROR('WEEKLY INPUT'!F50,0)</f>
        <v/>
      </c>
      <c r="G50" s="5">
        <f>IFERROR('WEEKLY INPUT'!Q50,0)</f>
        <v/>
      </c>
      <c r="H50" s="5">
        <f>IFERROR('WEEKLY INPUT'!H50/'WEEKLY INPUT'!F50*90,0)</f>
        <v/>
      </c>
      <c r="I50" s="5">
        <f>IFERROR('WEEKLY INPUT'!I50/'WEEKLY INPUT'!F50*90,0)</f>
        <v/>
      </c>
      <c r="J50" s="5">
        <f>H50+I50</f>
        <v/>
      </c>
      <c r="K50" s="5">
        <f>IFERROR('WEEKLY INPUT'!J50/'WEEKLY INPUT'!F50*90,0)</f>
        <v/>
      </c>
      <c r="L50" s="5">
        <f>IFERROR('WEEKLY INPUT'!K50/'WEEKLY INPUT'!F50*90,0)</f>
        <v/>
      </c>
      <c r="M50" s="5">
        <f>IFERROR('WEEKLY INPUT'!L50/'WEEKLY INPUT'!F50*90,0)</f>
        <v/>
      </c>
      <c r="N50" s="5">
        <f>IFERROR('WEEKLY INPUT'!M50/'WEEKLY INPUT'!F50*90,0)</f>
        <v/>
      </c>
      <c r="O50" s="5">
        <f>IFERROR('WEEKLY INPUT'!N50/'WEEKLY INPUT'!F50*90,0)</f>
        <v/>
      </c>
      <c r="P50" s="5">
        <f>IFERROR('WEEKLY INPUT'!O50/'WEEKLY INPUT'!F50*90,0)</f>
        <v/>
      </c>
      <c r="Q50" s="5">
        <f>IFERROR(('WEEKLY INPUT'!J50*2+'WEEKLY INPUT'!K50*1+'WEEKLY INPUT'!O50*0.2)/'WEEKLY INPUT'!F50,0)</f>
        <v/>
      </c>
      <c r="R50" s="5">
        <f>MAX(0.25,MIN(1.15,(F50/540)*0.5+G50*0.5))</f>
        <v/>
      </c>
      <c r="S50" s="5">
        <f>MAX(0.70,MIN(1.10,0.85+0.15*G50))</f>
        <v/>
      </c>
      <c r="T50" s="5">
        <f>IF(A50="","",2*('WEEKLY INPUT'!P50/90)+(H50*5+I50*3)*('WEEKLY INPUT'!P50/90)+(P50*0.15)*('WEEKLY INPUT'!P50/90)+Q50*0.25)</f>
        <v/>
      </c>
      <c r="U50" s="5">
        <f>IF($A50="","",$T50*(1+($3-'WEEKLY INPUT'!R50)*0.10)*$R50*$S50*1.0)</f>
        <v/>
      </c>
      <c r="V50" s="5">
        <f>IF($A50="","",$T50*(1+($3-'WEEKLY INPUT'!S50)*0.10)*$R50*$S50*0.975)</f>
        <v/>
      </c>
      <c r="W50" s="5">
        <f>IF($A50="","",$T50*(1+($3-'WEEKLY INPUT'!T50)*0.10)*$R50*$S50*0.95)</f>
        <v/>
      </c>
      <c r="X50" s="5">
        <f>IF($A50="","",$T50*(1+($3-'WEEKLY INPUT'!U50)*0.10)*$R50*$S50*0.925)</f>
        <v/>
      </c>
      <c r="Y50" s="5">
        <f>IF($A50="","",$T50*(1+($3-'WEEKLY INPUT'!V50)*0.10)*$R50*$S50*0.9)</f>
        <v/>
      </c>
      <c r="Z50" s="5">
        <f>IF($A50="","",$T50*(1+($3-'WEEKLY INPUT'!W50)*0.10)*$R50*$S50*0.875)</f>
        <v/>
      </c>
      <c r="AA50" s="5">
        <f>IF($A50="","",$T50*(1+($3-'WEEKLY INPUT'!X50)*0.10)*$R50*$S50*0.85)</f>
        <v/>
      </c>
      <c r="AB50" s="5">
        <f>IF($A50="","",$T50*(1+($3-'WEEKLY INPUT'!Y50)*0.10)*$R50*$S50*0.825)</f>
        <v/>
      </c>
      <c r="AC50" s="5">
        <f>SUM(U50:AB50)</f>
        <v/>
      </c>
      <c r="AD50" s="5">
        <f>SUM(U50:Z50)</f>
        <v/>
      </c>
      <c r="AE50" s="5">
        <f>IFERROR(AD50/D50,0)</f>
        <v/>
      </c>
      <c r="AF50" s="5">
        <f>MAX(0,1-R50)</f>
        <v/>
      </c>
      <c r="AG50" s="5">
        <f>IFERROR((H50+I50)*R50*(1+0.10*(3-'WEEKLY INPUT'!R50)),"")</f>
        <v/>
      </c>
      <c r="AH50" s="5">
        <f>IFERROR(AG50/SUMPRODUCT($AG$6:$AG$205),"")</f>
        <v/>
      </c>
      <c r="AI50" s="5">
        <f>IFERROR(AD50*(1-AF50*0.5)*(1+0.15*AE50),0)</f>
        <v/>
      </c>
      <c r="AJ50" s="5">
        <f>IF(A50="","",RANK(AI50,$AI$6:$AI$205,0))</f>
        <v/>
      </c>
      <c r="AK50" s="5">
        <f>IFERROR('WEEKLY INPUT'!Z50,"")</f>
        <v/>
      </c>
    </row>
    <row r="51">
      <c r="A51" s="5">
        <f>IFERROR('WEEKLY INPUT'!A51,"")</f>
        <v/>
      </c>
      <c r="B51" s="5">
        <f>IFERROR('WEEKLY INPUT'!B51,"")</f>
        <v/>
      </c>
      <c r="C51" s="5">
        <f>IFERROR('WEEKLY INPUT'!C51,"")</f>
        <v/>
      </c>
      <c r="D51" s="5">
        <f>IFERROR('WEEKLY INPUT'!D51,0)</f>
        <v/>
      </c>
      <c r="E51" s="5">
        <f>IFERROR('WEEKLY INPUT'!E51,0)</f>
        <v/>
      </c>
      <c r="F51" s="5">
        <f>IFERROR('WEEKLY INPUT'!F51,0)</f>
        <v/>
      </c>
      <c r="G51" s="5">
        <f>IFERROR('WEEKLY INPUT'!Q51,0)</f>
        <v/>
      </c>
      <c r="H51" s="5">
        <f>IFERROR('WEEKLY INPUT'!H51/'WEEKLY INPUT'!F51*90,0)</f>
        <v/>
      </c>
      <c r="I51" s="5">
        <f>IFERROR('WEEKLY INPUT'!I51/'WEEKLY INPUT'!F51*90,0)</f>
        <v/>
      </c>
      <c r="J51" s="5">
        <f>H51+I51</f>
        <v/>
      </c>
      <c r="K51" s="5">
        <f>IFERROR('WEEKLY INPUT'!J51/'WEEKLY INPUT'!F51*90,0)</f>
        <v/>
      </c>
      <c r="L51" s="5">
        <f>IFERROR('WEEKLY INPUT'!K51/'WEEKLY INPUT'!F51*90,0)</f>
        <v/>
      </c>
      <c r="M51" s="5">
        <f>IFERROR('WEEKLY INPUT'!L51/'WEEKLY INPUT'!F51*90,0)</f>
        <v/>
      </c>
      <c r="N51" s="5">
        <f>IFERROR('WEEKLY INPUT'!M51/'WEEKLY INPUT'!F51*90,0)</f>
        <v/>
      </c>
      <c r="O51" s="5">
        <f>IFERROR('WEEKLY INPUT'!N51/'WEEKLY INPUT'!F51*90,0)</f>
        <v/>
      </c>
      <c r="P51" s="5">
        <f>IFERROR('WEEKLY INPUT'!O51/'WEEKLY INPUT'!F51*90,0)</f>
        <v/>
      </c>
      <c r="Q51" s="5">
        <f>IFERROR(('WEEKLY INPUT'!J51*2+'WEEKLY INPUT'!K51*1+'WEEKLY INPUT'!O51*0.2)/'WEEKLY INPUT'!F51,0)</f>
        <v/>
      </c>
      <c r="R51" s="5">
        <f>MAX(0.25,MIN(1.15,(F51/540)*0.5+G51*0.5))</f>
        <v/>
      </c>
      <c r="S51" s="5">
        <f>MAX(0.70,MIN(1.10,0.85+0.15*G51))</f>
        <v/>
      </c>
      <c r="T51" s="5">
        <f>IF(A51="","",2*('WEEKLY INPUT'!P51/90)+(H51*5+I51*3)*('WEEKLY INPUT'!P51/90)+(P51*0.15)*('WEEKLY INPUT'!P51/90)+Q51*0.25)</f>
        <v/>
      </c>
      <c r="U51" s="5">
        <f>IF($A51="","",$T51*(1+($3-'WEEKLY INPUT'!R51)*0.10)*$R51*$S51*1.0)</f>
        <v/>
      </c>
      <c r="V51" s="5">
        <f>IF($A51="","",$T51*(1+($3-'WEEKLY INPUT'!S51)*0.10)*$R51*$S51*0.975)</f>
        <v/>
      </c>
      <c r="W51" s="5">
        <f>IF($A51="","",$T51*(1+($3-'WEEKLY INPUT'!T51)*0.10)*$R51*$S51*0.95)</f>
        <v/>
      </c>
      <c r="X51" s="5">
        <f>IF($A51="","",$T51*(1+($3-'WEEKLY INPUT'!U51)*0.10)*$R51*$S51*0.925)</f>
        <v/>
      </c>
      <c r="Y51" s="5">
        <f>IF($A51="","",$T51*(1+($3-'WEEKLY INPUT'!V51)*0.10)*$R51*$S51*0.9)</f>
        <v/>
      </c>
      <c r="Z51" s="5">
        <f>IF($A51="","",$T51*(1+($3-'WEEKLY INPUT'!W51)*0.10)*$R51*$S51*0.875)</f>
        <v/>
      </c>
      <c r="AA51" s="5">
        <f>IF($A51="","",$T51*(1+($3-'WEEKLY INPUT'!X51)*0.10)*$R51*$S51*0.85)</f>
        <v/>
      </c>
      <c r="AB51" s="5">
        <f>IF($A51="","",$T51*(1+($3-'WEEKLY INPUT'!Y51)*0.10)*$R51*$S51*0.825)</f>
        <v/>
      </c>
      <c r="AC51" s="5">
        <f>SUM(U51:AB51)</f>
        <v/>
      </c>
      <c r="AD51" s="5">
        <f>SUM(U51:Z51)</f>
        <v/>
      </c>
      <c r="AE51" s="5">
        <f>IFERROR(AD51/D51,0)</f>
        <v/>
      </c>
      <c r="AF51" s="5">
        <f>MAX(0,1-R51)</f>
        <v/>
      </c>
      <c r="AG51" s="5">
        <f>IFERROR((H51+I51)*R51*(1+0.10*(3-'WEEKLY INPUT'!R51)),"")</f>
        <v/>
      </c>
      <c r="AH51" s="5">
        <f>IFERROR(AG51/SUMPRODUCT($AG$6:$AG$205),"")</f>
        <v/>
      </c>
      <c r="AI51" s="5">
        <f>IFERROR(AD51*(1-AF51*0.5)*(1+0.15*AE51),0)</f>
        <v/>
      </c>
      <c r="AJ51" s="5">
        <f>IF(A51="","",RANK(AI51,$AI$6:$AI$205,0))</f>
        <v/>
      </c>
      <c r="AK51" s="5">
        <f>IFERROR('WEEKLY INPUT'!Z51,"")</f>
        <v/>
      </c>
    </row>
    <row r="52">
      <c r="A52" s="5">
        <f>IFERROR('WEEKLY INPUT'!A52,"")</f>
        <v/>
      </c>
      <c r="B52" s="5">
        <f>IFERROR('WEEKLY INPUT'!B52,"")</f>
        <v/>
      </c>
      <c r="C52" s="5">
        <f>IFERROR('WEEKLY INPUT'!C52,"")</f>
        <v/>
      </c>
      <c r="D52" s="5">
        <f>IFERROR('WEEKLY INPUT'!D52,0)</f>
        <v/>
      </c>
      <c r="E52" s="5">
        <f>IFERROR('WEEKLY INPUT'!E52,0)</f>
        <v/>
      </c>
      <c r="F52" s="5">
        <f>IFERROR('WEEKLY INPUT'!F52,0)</f>
        <v/>
      </c>
      <c r="G52" s="5">
        <f>IFERROR('WEEKLY INPUT'!Q52,0)</f>
        <v/>
      </c>
      <c r="H52" s="5">
        <f>IFERROR('WEEKLY INPUT'!H52/'WEEKLY INPUT'!F52*90,0)</f>
        <v/>
      </c>
      <c r="I52" s="5">
        <f>IFERROR('WEEKLY INPUT'!I52/'WEEKLY INPUT'!F52*90,0)</f>
        <v/>
      </c>
      <c r="J52" s="5">
        <f>H52+I52</f>
        <v/>
      </c>
      <c r="K52" s="5">
        <f>IFERROR('WEEKLY INPUT'!J52/'WEEKLY INPUT'!F52*90,0)</f>
        <v/>
      </c>
      <c r="L52" s="5">
        <f>IFERROR('WEEKLY INPUT'!K52/'WEEKLY INPUT'!F52*90,0)</f>
        <v/>
      </c>
      <c r="M52" s="5">
        <f>IFERROR('WEEKLY INPUT'!L52/'WEEKLY INPUT'!F52*90,0)</f>
        <v/>
      </c>
      <c r="N52" s="5">
        <f>IFERROR('WEEKLY INPUT'!M52/'WEEKLY INPUT'!F52*90,0)</f>
        <v/>
      </c>
      <c r="O52" s="5">
        <f>IFERROR('WEEKLY INPUT'!N52/'WEEKLY INPUT'!F52*90,0)</f>
        <v/>
      </c>
      <c r="P52" s="5">
        <f>IFERROR('WEEKLY INPUT'!O52/'WEEKLY INPUT'!F52*90,0)</f>
        <v/>
      </c>
      <c r="Q52" s="5">
        <f>IFERROR(('WEEKLY INPUT'!J52*2+'WEEKLY INPUT'!K52*1+'WEEKLY INPUT'!O52*0.2)/'WEEKLY INPUT'!F52,0)</f>
        <v/>
      </c>
      <c r="R52" s="5">
        <f>MAX(0.25,MIN(1.15,(F52/540)*0.5+G52*0.5))</f>
        <v/>
      </c>
      <c r="S52" s="5">
        <f>MAX(0.70,MIN(1.10,0.85+0.15*G52))</f>
        <v/>
      </c>
      <c r="T52" s="5">
        <f>IF(A52="","",2*('WEEKLY INPUT'!P52/90)+(H52*5+I52*3)*('WEEKLY INPUT'!P52/90)+(P52*0.15)*('WEEKLY INPUT'!P52/90)+Q52*0.25)</f>
        <v/>
      </c>
      <c r="U52" s="5">
        <f>IF($A52="","",$T52*(1+($3-'WEEKLY INPUT'!R52)*0.10)*$R52*$S52*1.0)</f>
        <v/>
      </c>
      <c r="V52" s="5">
        <f>IF($A52="","",$T52*(1+($3-'WEEKLY INPUT'!S52)*0.10)*$R52*$S52*0.975)</f>
        <v/>
      </c>
      <c r="W52" s="5">
        <f>IF($A52="","",$T52*(1+($3-'WEEKLY INPUT'!T52)*0.10)*$R52*$S52*0.95)</f>
        <v/>
      </c>
      <c r="X52" s="5">
        <f>IF($A52="","",$T52*(1+($3-'WEEKLY INPUT'!U52)*0.10)*$R52*$S52*0.925)</f>
        <v/>
      </c>
      <c r="Y52" s="5">
        <f>IF($A52="","",$T52*(1+($3-'WEEKLY INPUT'!V52)*0.10)*$R52*$S52*0.9)</f>
        <v/>
      </c>
      <c r="Z52" s="5">
        <f>IF($A52="","",$T52*(1+($3-'WEEKLY INPUT'!W52)*0.10)*$R52*$S52*0.875)</f>
        <v/>
      </c>
      <c r="AA52" s="5">
        <f>IF($A52="","",$T52*(1+($3-'WEEKLY INPUT'!X52)*0.10)*$R52*$S52*0.85)</f>
        <v/>
      </c>
      <c r="AB52" s="5">
        <f>IF($A52="","",$T52*(1+($3-'WEEKLY INPUT'!Y52)*0.10)*$R52*$S52*0.825)</f>
        <v/>
      </c>
      <c r="AC52" s="5">
        <f>SUM(U52:AB52)</f>
        <v/>
      </c>
      <c r="AD52" s="5">
        <f>SUM(U52:Z52)</f>
        <v/>
      </c>
      <c r="AE52" s="5">
        <f>IFERROR(AD52/D52,0)</f>
        <v/>
      </c>
      <c r="AF52" s="5">
        <f>MAX(0,1-R52)</f>
        <v/>
      </c>
      <c r="AG52" s="5">
        <f>IFERROR((H52+I52)*R52*(1+0.10*(3-'WEEKLY INPUT'!R52)),"")</f>
        <v/>
      </c>
      <c r="AH52" s="5">
        <f>IFERROR(AG52/SUMPRODUCT($AG$6:$AG$205),"")</f>
        <v/>
      </c>
      <c r="AI52" s="5">
        <f>IFERROR(AD52*(1-AF52*0.5)*(1+0.15*AE52),0)</f>
        <v/>
      </c>
      <c r="AJ52" s="5">
        <f>IF(A52="","",RANK(AI52,$AI$6:$AI$205,0))</f>
        <v/>
      </c>
      <c r="AK52" s="5">
        <f>IFERROR('WEEKLY INPUT'!Z52,"")</f>
        <v/>
      </c>
    </row>
    <row r="53">
      <c r="A53" s="5">
        <f>IFERROR('WEEKLY INPUT'!A53,"")</f>
        <v/>
      </c>
      <c r="B53" s="5">
        <f>IFERROR('WEEKLY INPUT'!B53,"")</f>
        <v/>
      </c>
      <c r="C53" s="5">
        <f>IFERROR('WEEKLY INPUT'!C53,"")</f>
        <v/>
      </c>
      <c r="D53" s="5">
        <f>IFERROR('WEEKLY INPUT'!D53,0)</f>
        <v/>
      </c>
      <c r="E53" s="5">
        <f>IFERROR('WEEKLY INPUT'!E53,0)</f>
        <v/>
      </c>
      <c r="F53" s="5">
        <f>IFERROR('WEEKLY INPUT'!F53,0)</f>
        <v/>
      </c>
      <c r="G53" s="5">
        <f>IFERROR('WEEKLY INPUT'!Q53,0)</f>
        <v/>
      </c>
      <c r="H53" s="5">
        <f>IFERROR('WEEKLY INPUT'!H53/'WEEKLY INPUT'!F53*90,0)</f>
        <v/>
      </c>
      <c r="I53" s="5">
        <f>IFERROR('WEEKLY INPUT'!I53/'WEEKLY INPUT'!F53*90,0)</f>
        <v/>
      </c>
      <c r="J53" s="5">
        <f>H53+I53</f>
        <v/>
      </c>
      <c r="K53" s="5">
        <f>IFERROR('WEEKLY INPUT'!J53/'WEEKLY INPUT'!F53*90,0)</f>
        <v/>
      </c>
      <c r="L53" s="5">
        <f>IFERROR('WEEKLY INPUT'!K53/'WEEKLY INPUT'!F53*90,0)</f>
        <v/>
      </c>
      <c r="M53" s="5">
        <f>IFERROR('WEEKLY INPUT'!L53/'WEEKLY INPUT'!F53*90,0)</f>
        <v/>
      </c>
      <c r="N53" s="5">
        <f>IFERROR('WEEKLY INPUT'!M53/'WEEKLY INPUT'!F53*90,0)</f>
        <v/>
      </c>
      <c r="O53" s="5">
        <f>IFERROR('WEEKLY INPUT'!N53/'WEEKLY INPUT'!F53*90,0)</f>
        <v/>
      </c>
      <c r="P53" s="5">
        <f>IFERROR('WEEKLY INPUT'!O53/'WEEKLY INPUT'!F53*90,0)</f>
        <v/>
      </c>
      <c r="Q53" s="5">
        <f>IFERROR(('WEEKLY INPUT'!J53*2+'WEEKLY INPUT'!K53*1+'WEEKLY INPUT'!O53*0.2)/'WEEKLY INPUT'!F53,0)</f>
        <v/>
      </c>
      <c r="R53" s="5">
        <f>MAX(0.25,MIN(1.15,(F53/540)*0.5+G53*0.5))</f>
        <v/>
      </c>
      <c r="S53" s="5">
        <f>MAX(0.70,MIN(1.10,0.85+0.15*G53))</f>
        <v/>
      </c>
      <c r="T53" s="5">
        <f>IF(A53="","",2*('WEEKLY INPUT'!P53/90)+(H53*5+I53*3)*('WEEKLY INPUT'!P53/90)+(P53*0.15)*('WEEKLY INPUT'!P53/90)+Q53*0.25)</f>
        <v/>
      </c>
      <c r="U53" s="5">
        <f>IF($A53="","",$T53*(1+($3-'WEEKLY INPUT'!R53)*0.10)*$R53*$S53*1.0)</f>
        <v/>
      </c>
      <c r="V53" s="5">
        <f>IF($A53="","",$T53*(1+($3-'WEEKLY INPUT'!S53)*0.10)*$R53*$S53*0.975)</f>
        <v/>
      </c>
      <c r="W53" s="5">
        <f>IF($A53="","",$T53*(1+($3-'WEEKLY INPUT'!T53)*0.10)*$R53*$S53*0.95)</f>
        <v/>
      </c>
      <c r="X53" s="5">
        <f>IF($A53="","",$T53*(1+($3-'WEEKLY INPUT'!U53)*0.10)*$R53*$S53*0.925)</f>
        <v/>
      </c>
      <c r="Y53" s="5">
        <f>IF($A53="","",$T53*(1+($3-'WEEKLY INPUT'!V53)*0.10)*$R53*$S53*0.9)</f>
        <v/>
      </c>
      <c r="Z53" s="5">
        <f>IF($A53="","",$T53*(1+($3-'WEEKLY INPUT'!W53)*0.10)*$R53*$S53*0.875)</f>
        <v/>
      </c>
      <c r="AA53" s="5">
        <f>IF($A53="","",$T53*(1+($3-'WEEKLY INPUT'!X53)*0.10)*$R53*$S53*0.85)</f>
        <v/>
      </c>
      <c r="AB53" s="5">
        <f>IF($A53="","",$T53*(1+($3-'WEEKLY INPUT'!Y53)*0.10)*$R53*$S53*0.825)</f>
        <v/>
      </c>
      <c r="AC53" s="5">
        <f>SUM(U53:AB53)</f>
        <v/>
      </c>
      <c r="AD53" s="5">
        <f>SUM(U53:Z53)</f>
        <v/>
      </c>
      <c r="AE53" s="5">
        <f>IFERROR(AD53/D53,0)</f>
        <v/>
      </c>
      <c r="AF53" s="5">
        <f>MAX(0,1-R53)</f>
        <v/>
      </c>
      <c r="AG53" s="5">
        <f>IFERROR((H53+I53)*R53*(1+0.10*(3-'WEEKLY INPUT'!R53)),"")</f>
        <v/>
      </c>
      <c r="AH53" s="5">
        <f>IFERROR(AG53/SUMPRODUCT($AG$6:$AG$205),"")</f>
        <v/>
      </c>
      <c r="AI53" s="5">
        <f>IFERROR(AD53*(1-AF53*0.5)*(1+0.15*AE53),0)</f>
        <v/>
      </c>
      <c r="AJ53" s="5">
        <f>IF(A53="","",RANK(AI53,$AI$6:$AI$205,0))</f>
        <v/>
      </c>
      <c r="AK53" s="5">
        <f>IFERROR('WEEKLY INPUT'!Z53,"")</f>
        <v/>
      </c>
    </row>
    <row r="54">
      <c r="A54" s="5">
        <f>IFERROR('WEEKLY INPUT'!A54,"")</f>
        <v/>
      </c>
      <c r="B54" s="5">
        <f>IFERROR('WEEKLY INPUT'!B54,"")</f>
        <v/>
      </c>
      <c r="C54" s="5">
        <f>IFERROR('WEEKLY INPUT'!C54,"")</f>
        <v/>
      </c>
      <c r="D54" s="5">
        <f>IFERROR('WEEKLY INPUT'!D54,0)</f>
        <v/>
      </c>
      <c r="E54" s="5">
        <f>IFERROR('WEEKLY INPUT'!E54,0)</f>
        <v/>
      </c>
      <c r="F54" s="5">
        <f>IFERROR('WEEKLY INPUT'!F54,0)</f>
        <v/>
      </c>
      <c r="G54" s="5">
        <f>IFERROR('WEEKLY INPUT'!Q54,0)</f>
        <v/>
      </c>
      <c r="H54" s="5">
        <f>IFERROR('WEEKLY INPUT'!H54/'WEEKLY INPUT'!F54*90,0)</f>
        <v/>
      </c>
      <c r="I54" s="5">
        <f>IFERROR('WEEKLY INPUT'!I54/'WEEKLY INPUT'!F54*90,0)</f>
        <v/>
      </c>
      <c r="J54" s="5">
        <f>H54+I54</f>
        <v/>
      </c>
      <c r="K54" s="5">
        <f>IFERROR('WEEKLY INPUT'!J54/'WEEKLY INPUT'!F54*90,0)</f>
        <v/>
      </c>
      <c r="L54" s="5">
        <f>IFERROR('WEEKLY INPUT'!K54/'WEEKLY INPUT'!F54*90,0)</f>
        <v/>
      </c>
      <c r="M54" s="5">
        <f>IFERROR('WEEKLY INPUT'!L54/'WEEKLY INPUT'!F54*90,0)</f>
        <v/>
      </c>
      <c r="N54" s="5">
        <f>IFERROR('WEEKLY INPUT'!M54/'WEEKLY INPUT'!F54*90,0)</f>
        <v/>
      </c>
      <c r="O54" s="5">
        <f>IFERROR('WEEKLY INPUT'!N54/'WEEKLY INPUT'!F54*90,0)</f>
        <v/>
      </c>
      <c r="P54" s="5">
        <f>IFERROR('WEEKLY INPUT'!O54/'WEEKLY INPUT'!F54*90,0)</f>
        <v/>
      </c>
      <c r="Q54" s="5">
        <f>IFERROR(('WEEKLY INPUT'!J54*2+'WEEKLY INPUT'!K54*1+'WEEKLY INPUT'!O54*0.2)/'WEEKLY INPUT'!F54,0)</f>
        <v/>
      </c>
      <c r="R54" s="5">
        <f>MAX(0.25,MIN(1.15,(F54/540)*0.5+G54*0.5))</f>
        <v/>
      </c>
      <c r="S54" s="5">
        <f>MAX(0.70,MIN(1.10,0.85+0.15*G54))</f>
        <v/>
      </c>
      <c r="T54" s="5">
        <f>IF(A54="","",2*('WEEKLY INPUT'!P54/90)+(H54*5+I54*3)*('WEEKLY INPUT'!P54/90)+(P54*0.15)*('WEEKLY INPUT'!P54/90)+Q54*0.25)</f>
        <v/>
      </c>
      <c r="U54" s="5">
        <f>IF($A54="","",$T54*(1+($3-'WEEKLY INPUT'!R54)*0.10)*$R54*$S54*1.0)</f>
        <v/>
      </c>
      <c r="V54" s="5">
        <f>IF($A54="","",$T54*(1+($3-'WEEKLY INPUT'!S54)*0.10)*$R54*$S54*0.975)</f>
        <v/>
      </c>
      <c r="W54" s="5">
        <f>IF($A54="","",$T54*(1+($3-'WEEKLY INPUT'!T54)*0.10)*$R54*$S54*0.95)</f>
        <v/>
      </c>
      <c r="X54" s="5">
        <f>IF($A54="","",$T54*(1+($3-'WEEKLY INPUT'!U54)*0.10)*$R54*$S54*0.925)</f>
        <v/>
      </c>
      <c r="Y54" s="5">
        <f>IF($A54="","",$T54*(1+($3-'WEEKLY INPUT'!V54)*0.10)*$R54*$S54*0.9)</f>
        <v/>
      </c>
      <c r="Z54" s="5">
        <f>IF($A54="","",$T54*(1+($3-'WEEKLY INPUT'!W54)*0.10)*$R54*$S54*0.875)</f>
        <v/>
      </c>
      <c r="AA54" s="5">
        <f>IF($A54="","",$T54*(1+($3-'WEEKLY INPUT'!X54)*0.10)*$R54*$S54*0.85)</f>
        <v/>
      </c>
      <c r="AB54" s="5">
        <f>IF($A54="","",$T54*(1+($3-'WEEKLY INPUT'!Y54)*0.10)*$R54*$S54*0.825)</f>
        <v/>
      </c>
      <c r="AC54" s="5">
        <f>SUM(U54:AB54)</f>
        <v/>
      </c>
      <c r="AD54" s="5">
        <f>SUM(U54:Z54)</f>
        <v/>
      </c>
      <c r="AE54" s="5">
        <f>IFERROR(AD54/D54,0)</f>
        <v/>
      </c>
      <c r="AF54" s="5">
        <f>MAX(0,1-R54)</f>
        <v/>
      </c>
      <c r="AG54" s="5">
        <f>IFERROR((H54+I54)*R54*(1+0.10*(3-'WEEKLY INPUT'!R54)),"")</f>
        <v/>
      </c>
      <c r="AH54" s="5">
        <f>IFERROR(AG54/SUMPRODUCT($AG$6:$AG$205),"")</f>
        <v/>
      </c>
      <c r="AI54" s="5">
        <f>IFERROR(AD54*(1-AF54*0.5)*(1+0.15*AE54),0)</f>
        <v/>
      </c>
      <c r="AJ54" s="5">
        <f>IF(A54="","",RANK(AI54,$AI$6:$AI$205,0))</f>
        <v/>
      </c>
      <c r="AK54" s="5">
        <f>IFERROR('WEEKLY INPUT'!Z54,"")</f>
        <v/>
      </c>
    </row>
    <row r="55">
      <c r="A55" s="5">
        <f>IFERROR('WEEKLY INPUT'!A55,"")</f>
        <v/>
      </c>
      <c r="B55" s="5">
        <f>IFERROR('WEEKLY INPUT'!B55,"")</f>
        <v/>
      </c>
      <c r="C55" s="5">
        <f>IFERROR('WEEKLY INPUT'!C55,"")</f>
        <v/>
      </c>
      <c r="D55" s="5">
        <f>IFERROR('WEEKLY INPUT'!D55,0)</f>
        <v/>
      </c>
      <c r="E55" s="5">
        <f>IFERROR('WEEKLY INPUT'!E55,0)</f>
        <v/>
      </c>
      <c r="F55" s="5">
        <f>IFERROR('WEEKLY INPUT'!F55,0)</f>
        <v/>
      </c>
      <c r="G55" s="5">
        <f>IFERROR('WEEKLY INPUT'!Q55,0)</f>
        <v/>
      </c>
      <c r="H55" s="5">
        <f>IFERROR('WEEKLY INPUT'!H55/'WEEKLY INPUT'!F55*90,0)</f>
        <v/>
      </c>
      <c r="I55" s="5">
        <f>IFERROR('WEEKLY INPUT'!I55/'WEEKLY INPUT'!F55*90,0)</f>
        <v/>
      </c>
      <c r="J55" s="5">
        <f>H55+I55</f>
        <v/>
      </c>
      <c r="K55" s="5">
        <f>IFERROR('WEEKLY INPUT'!J55/'WEEKLY INPUT'!F55*90,0)</f>
        <v/>
      </c>
      <c r="L55" s="5">
        <f>IFERROR('WEEKLY INPUT'!K55/'WEEKLY INPUT'!F55*90,0)</f>
        <v/>
      </c>
      <c r="M55" s="5">
        <f>IFERROR('WEEKLY INPUT'!L55/'WEEKLY INPUT'!F55*90,0)</f>
        <v/>
      </c>
      <c r="N55" s="5">
        <f>IFERROR('WEEKLY INPUT'!M55/'WEEKLY INPUT'!F55*90,0)</f>
        <v/>
      </c>
      <c r="O55" s="5">
        <f>IFERROR('WEEKLY INPUT'!N55/'WEEKLY INPUT'!F55*90,0)</f>
        <v/>
      </c>
      <c r="P55" s="5">
        <f>IFERROR('WEEKLY INPUT'!O55/'WEEKLY INPUT'!F55*90,0)</f>
        <v/>
      </c>
      <c r="Q55" s="5">
        <f>IFERROR(('WEEKLY INPUT'!J55*2+'WEEKLY INPUT'!K55*1+'WEEKLY INPUT'!O55*0.2)/'WEEKLY INPUT'!F55,0)</f>
        <v/>
      </c>
      <c r="R55" s="5">
        <f>MAX(0.25,MIN(1.15,(F55/540)*0.5+G55*0.5))</f>
        <v/>
      </c>
      <c r="S55" s="5">
        <f>MAX(0.70,MIN(1.10,0.85+0.15*G55))</f>
        <v/>
      </c>
      <c r="T55" s="5">
        <f>IF(A55="","",2*('WEEKLY INPUT'!P55/90)+(H55*5+I55*3)*('WEEKLY INPUT'!P55/90)+(P55*0.15)*('WEEKLY INPUT'!P55/90)+Q55*0.25)</f>
        <v/>
      </c>
      <c r="U55" s="5">
        <f>IF($A55="","",$T55*(1+($3-'WEEKLY INPUT'!R55)*0.10)*$R55*$S55*1.0)</f>
        <v/>
      </c>
      <c r="V55" s="5">
        <f>IF($A55="","",$T55*(1+($3-'WEEKLY INPUT'!S55)*0.10)*$R55*$S55*0.975)</f>
        <v/>
      </c>
      <c r="W55" s="5">
        <f>IF($A55="","",$T55*(1+($3-'WEEKLY INPUT'!T55)*0.10)*$R55*$S55*0.95)</f>
        <v/>
      </c>
      <c r="X55" s="5">
        <f>IF($A55="","",$T55*(1+($3-'WEEKLY INPUT'!U55)*0.10)*$R55*$S55*0.925)</f>
        <v/>
      </c>
      <c r="Y55" s="5">
        <f>IF($A55="","",$T55*(1+($3-'WEEKLY INPUT'!V55)*0.10)*$R55*$S55*0.9)</f>
        <v/>
      </c>
      <c r="Z55" s="5">
        <f>IF($A55="","",$T55*(1+($3-'WEEKLY INPUT'!W55)*0.10)*$R55*$S55*0.875)</f>
        <v/>
      </c>
      <c r="AA55" s="5">
        <f>IF($A55="","",$T55*(1+($3-'WEEKLY INPUT'!X55)*0.10)*$R55*$S55*0.85)</f>
        <v/>
      </c>
      <c r="AB55" s="5">
        <f>IF($A55="","",$T55*(1+($3-'WEEKLY INPUT'!Y55)*0.10)*$R55*$S55*0.825)</f>
        <v/>
      </c>
      <c r="AC55" s="5">
        <f>SUM(U55:AB55)</f>
        <v/>
      </c>
      <c r="AD55" s="5">
        <f>SUM(U55:Z55)</f>
        <v/>
      </c>
      <c r="AE55" s="5">
        <f>IFERROR(AD55/D55,0)</f>
        <v/>
      </c>
      <c r="AF55" s="5">
        <f>MAX(0,1-R55)</f>
        <v/>
      </c>
      <c r="AG55" s="5">
        <f>IFERROR((H55+I55)*R55*(1+0.10*(3-'WEEKLY INPUT'!R55)),"")</f>
        <v/>
      </c>
      <c r="AH55" s="5">
        <f>IFERROR(AG55/SUMPRODUCT($AG$6:$AG$205),"")</f>
        <v/>
      </c>
      <c r="AI55" s="5">
        <f>IFERROR(AD55*(1-AF55*0.5)*(1+0.15*AE55),0)</f>
        <v/>
      </c>
      <c r="AJ55" s="5">
        <f>IF(A55="","",RANK(AI55,$AI$6:$AI$205,0))</f>
        <v/>
      </c>
      <c r="AK55" s="5">
        <f>IFERROR('WEEKLY INPUT'!Z55,"")</f>
        <v/>
      </c>
    </row>
    <row r="56">
      <c r="A56" s="5">
        <f>IFERROR('WEEKLY INPUT'!A56,"")</f>
        <v/>
      </c>
      <c r="B56" s="5">
        <f>IFERROR('WEEKLY INPUT'!B56,"")</f>
        <v/>
      </c>
      <c r="C56" s="5">
        <f>IFERROR('WEEKLY INPUT'!C56,"")</f>
        <v/>
      </c>
      <c r="D56" s="5">
        <f>IFERROR('WEEKLY INPUT'!D56,0)</f>
        <v/>
      </c>
      <c r="E56" s="5">
        <f>IFERROR('WEEKLY INPUT'!E56,0)</f>
        <v/>
      </c>
      <c r="F56" s="5">
        <f>IFERROR('WEEKLY INPUT'!F56,0)</f>
        <v/>
      </c>
      <c r="G56" s="5">
        <f>IFERROR('WEEKLY INPUT'!Q56,0)</f>
        <v/>
      </c>
      <c r="H56" s="5">
        <f>IFERROR('WEEKLY INPUT'!H56/'WEEKLY INPUT'!F56*90,0)</f>
        <v/>
      </c>
      <c r="I56" s="5">
        <f>IFERROR('WEEKLY INPUT'!I56/'WEEKLY INPUT'!F56*90,0)</f>
        <v/>
      </c>
      <c r="J56" s="5">
        <f>H56+I56</f>
        <v/>
      </c>
      <c r="K56" s="5">
        <f>IFERROR('WEEKLY INPUT'!J56/'WEEKLY INPUT'!F56*90,0)</f>
        <v/>
      </c>
      <c r="L56" s="5">
        <f>IFERROR('WEEKLY INPUT'!K56/'WEEKLY INPUT'!F56*90,0)</f>
        <v/>
      </c>
      <c r="M56" s="5">
        <f>IFERROR('WEEKLY INPUT'!L56/'WEEKLY INPUT'!F56*90,0)</f>
        <v/>
      </c>
      <c r="N56" s="5">
        <f>IFERROR('WEEKLY INPUT'!M56/'WEEKLY INPUT'!F56*90,0)</f>
        <v/>
      </c>
      <c r="O56" s="5">
        <f>IFERROR('WEEKLY INPUT'!N56/'WEEKLY INPUT'!F56*90,0)</f>
        <v/>
      </c>
      <c r="P56" s="5">
        <f>IFERROR('WEEKLY INPUT'!O56/'WEEKLY INPUT'!F56*90,0)</f>
        <v/>
      </c>
      <c r="Q56" s="5">
        <f>IFERROR(('WEEKLY INPUT'!J56*2+'WEEKLY INPUT'!K56*1+'WEEKLY INPUT'!O56*0.2)/'WEEKLY INPUT'!F56,0)</f>
        <v/>
      </c>
      <c r="R56" s="5">
        <f>MAX(0.25,MIN(1.15,(F56/540)*0.5+G56*0.5))</f>
        <v/>
      </c>
      <c r="S56" s="5">
        <f>MAX(0.70,MIN(1.10,0.85+0.15*G56))</f>
        <v/>
      </c>
      <c r="T56" s="5">
        <f>IF(A56="","",2*('WEEKLY INPUT'!P56/90)+(H56*5+I56*3)*('WEEKLY INPUT'!P56/90)+(P56*0.15)*('WEEKLY INPUT'!P56/90)+Q56*0.25)</f>
        <v/>
      </c>
      <c r="U56" s="5">
        <f>IF($A56="","",$T56*(1+($3-'WEEKLY INPUT'!R56)*0.10)*$R56*$S56*1.0)</f>
        <v/>
      </c>
      <c r="V56" s="5">
        <f>IF($A56="","",$T56*(1+($3-'WEEKLY INPUT'!S56)*0.10)*$R56*$S56*0.975)</f>
        <v/>
      </c>
      <c r="W56" s="5">
        <f>IF($A56="","",$T56*(1+($3-'WEEKLY INPUT'!T56)*0.10)*$R56*$S56*0.95)</f>
        <v/>
      </c>
      <c r="X56" s="5">
        <f>IF($A56="","",$T56*(1+($3-'WEEKLY INPUT'!U56)*0.10)*$R56*$S56*0.925)</f>
        <v/>
      </c>
      <c r="Y56" s="5">
        <f>IF($A56="","",$T56*(1+($3-'WEEKLY INPUT'!V56)*0.10)*$R56*$S56*0.9)</f>
        <v/>
      </c>
      <c r="Z56" s="5">
        <f>IF($A56="","",$T56*(1+($3-'WEEKLY INPUT'!W56)*0.10)*$R56*$S56*0.875)</f>
        <v/>
      </c>
      <c r="AA56" s="5">
        <f>IF($A56="","",$T56*(1+($3-'WEEKLY INPUT'!X56)*0.10)*$R56*$S56*0.85)</f>
        <v/>
      </c>
      <c r="AB56" s="5">
        <f>IF($A56="","",$T56*(1+($3-'WEEKLY INPUT'!Y56)*0.10)*$R56*$S56*0.825)</f>
        <v/>
      </c>
      <c r="AC56" s="5">
        <f>SUM(U56:AB56)</f>
        <v/>
      </c>
      <c r="AD56" s="5">
        <f>SUM(U56:Z56)</f>
        <v/>
      </c>
      <c r="AE56" s="5">
        <f>IFERROR(AD56/D56,0)</f>
        <v/>
      </c>
      <c r="AF56" s="5">
        <f>MAX(0,1-R56)</f>
        <v/>
      </c>
      <c r="AG56" s="5">
        <f>IFERROR((H56+I56)*R56*(1+0.10*(3-'WEEKLY INPUT'!R56)),"")</f>
        <v/>
      </c>
      <c r="AH56" s="5">
        <f>IFERROR(AG56/SUMPRODUCT($AG$6:$AG$205),"")</f>
        <v/>
      </c>
      <c r="AI56" s="5">
        <f>IFERROR(AD56*(1-AF56*0.5)*(1+0.15*AE56),0)</f>
        <v/>
      </c>
      <c r="AJ56" s="5">
        <f>IF(A56="","",RANK(AI56,$AI$6:$AI$205,0))</f>
        <v/>
      </c>
      <c r="AK56" s="5">
        <f>IFERROR('WEEKLY INPUT'!Z56,"")</f>
        <v/>
      </c>
    </row>
    <row r="57">
      <c r="A57" s="5">
        <f>IFERROR('WEEKLY INPUT'!A57,"")</f>
        <v/>
      </c>
      <c r="B57" s="5">
        <f>IFERROR('WEEKLY INPUT'!B57,"")</f>
        <v/>
      </c>
      <c r="C57" s="5">
        <f>IFERROR('WEEKLY INPUT'!C57,"")</f>
        <v/>
      </c>
      <c r="D57" s="5">
        <f>IFERROR('WEEKLY INPUT'!D57,0)</f>
        <v/>
      </c>
      <c r="E57" s="5">
        <f>IFERROR('WEEKLY INPUT'!E57,0)</f>
        <v/>
      </c>
      <c r="F57" s="5">
        <f>IFERROR('WEEKLY INPUT'!F57,0)</f>
        <v/>
      </c>
      <c r="G57" s="5">
        <f>IFERROR('WEEKLY INPUT'!Q57,0)</f>
        <v/>
      </c>
      <c r="H57" s="5">
        <f>IFERROR('WEEKLY INPUT'!H57/'WEEKLY INPUT'!F57*90,0)</f>
        <v/>
      </c>
      <c r="I57" s="5">
        <f>IFERROR('WEEKLY INPUT'!I57/'WEEKLY INPUT'!F57*90,0)</f>
        <v/>
      </c>
      <c r="J57" s="5">
        <f>H57+I57</f>
        <v/>
      </c>
      <c r="K57" s="5">
        <f>IFERROR('WEEKLY INPUT'!J57/'WEEKLY INPUT'!F57*90,0)</f>
        <v/>
      </c>
      <c r="L57" s="5">
        <f>IFERROR('WEEKLY INPUT'!K57/'WEEKLY INPUT'!F57*90,0)</f>
        <v/>
      </c>
      <c r="M57" s="5">
        <f>IFERROR('WEEKLY INPUT'!L57/'WEEKLY INPUT'!F57*90,0)</f>
        <v/>
      </c>
      <c r="N57" s="5">
        <f>IFERROR('WEEKLY INPUT'!M57/'WEEKLY INPUT'!F57*90,0)</f>
        <v/>
      </c>
      <c r="O57" s="5">
        <f>IFERROR('WEEKLY INPUT'!N57/'WEEKLY INPUT'!F57*90,0)</f>
        <v/>
      </c>
      <c r="P57" s="5">
        <f>IFERROR('WEEKLY INPUT'!O57/'WEEKLY INPUT'!F57*90,0)</f>
        <v/>
      </c>
      <c r="Q57" s="5">
        <f>IFERROR(('WEEKLY INPUT'!J57*2+'WEEKLY INPUT'!K57*1+'WEEKLY INPUT'!O57*0.2)/'WEEKLY INPUT'!F57,0)</f>
        <v/>
      </c>
      <c r="R57" s="5">
        <f>MAX(0.25,MIN(1.15,(F57/540)*0.5+G57*0.5))</f>
        <v/>
      </c>
      <c r="S57" s="5">
        <f>MAX(0.70,MIN(1.10,0.85+0.15*G57))</f>
        <v/>
      </c>
      <c r="T57" s="5">
        <f>IF(A57="","",2*('WEEKLY INPUT'!P57/90)+(H57*5+I57*3)*('WEEKLY INPUT'!P57/90)+(P57*0.15)*('WEEKLY INPUT'!P57/90)+Q57*0.25)</f>
        <v/>
      </c>
      <c r="U57" s="5">
        <f>IF($A57="","",$T57*(1+($3-'WEEKLY INPUT'!R57)*0.10)*$R57*$S57*1.0)</f>
        <v/>
      </c>
      <c r="V57" s="5">
        <f>IF($A57="","",$T57*(1+($3-'WEEKLY INPUT'!S57)*0.10)*$R57*$S57*0.975)</f>
        <v/>
      </c>
      <c r="W57" s="5">
        <f>IF($A57="","",$T57*(1+($3-'WEEKLY INPUT'!T57)*0.10)*$R57*$S57*0.95)</f>
        <v/>
      </c>
      <c r="X57" s="5">
        <f>IF($A57="","",$T57*(1+($3-'WEEKLY INPUT'!U57)*0.10)*$R57*$S57*0.925)</f>
        <v/>
      </c>
      <c r="Y57" s="5">
        <f>IF($A57="","",$T57*(1+($3-'WEEKLY INPUT'!V57)*0.10)*$R57*$S57*0.9)</f>
        <v/>
      </c>
      <c r="Z57" s="5">
        <f>IF($A57="","",$T57*(1+($3-'WEEKLY INPUT'!W57)*0.10)*$R57*$S57*0.875)</f>
        <v/>
      </c>
      <c r="AA57" s="5">
        <f>IF($A57="","",$T57*(1+($3-'WEEKLY INPUT'!X57)*0.10)*$R57*$S57*0.85)</f>
        <v/>
      </c>
      <c r="AB57" s="5">
        <f>IF($A57="","",$T57*(1+($3-'WEEKLY INPUT'!Y57)*0.10)*$R57*$S57*0.825)</f>
        <v/>
      </c>
      <c r="AC57" s="5">
        <f>SUM(U57:AB57)</f>
        <v/>
      </c>
      <c r="AD57" s="5">
        <f>SUM(U57:Z57)</f>
        <v/>
      </c>
      <c r="AE57" s="5">
        <f>IFERROR(AD57/D57,0)</f>
        <v/>
      </c>
      <c r="AF57" s="5">
        <f>MAX(0,1-R57)</f>
        <v/>
      </c>
      <c r="AG57" s="5">
        <f>IFERROR((H57+I57)*R57*(1+0.10*(3-'WEEKLY INPUT'!R57)),"")</f>
        <v/>
      </c>
      <c r="AH57" s="5">
        <f>IFERROR(AG57/SUMPRODUCT($AG$6:$AG$205),"")</f>
        <v/>
      </c>
      <c r="AI57" s="5">
        <f>IFERROR(AD57*(1-AF57*0.5)*(1+0.15*AE57),0)</f>
        <v/>
      </c>
      <c r="AJ57" s="5">
        <f>IF(A57="","",RANK(AI57,$AI$6:$AI$205,0))</f>
        <v/>
      </c>
      <c r="AK57" s="5">
        <f>IFERROR('WEEKLY INPUT'!Z57,"")</f>
        <v/>
      </c>
    </row>
    <row r="58">
      <c r="A58" s="5">
        <f>IFERROR('WEEKLY INPUT'!A58,"")</f>
        <v/>
      </c>
      <c r="B58" s="5">
        <f>IFERROR('WEEKLY INPUT'!B58,"")</f>
        <v/>
      </c>
      <c r="C58" s="5">
        <f>IFERROR('WEEKLY INPUT'!C58,"")</f>
        <v/>
      </c>
      <c r="D58" s="5">
        <f>IFERROR('WEEKLY INPUT'!D58,0)</f>
        <v/>
      </c>
      <c r="E58" s="5">
        <f>IFERROR('WEEKLY INPUT'!E58,0)</f>
        <v/>
      </c>
      <c r="F58" s="5">
        <f>IFERROR('WEEKLY INPUT'!F58,0)</f>
        <v/>
      </c>
      <c r="G58" s="5">
        <f>IFERROR('WEEKLY INPUT'!Q58,0)</f>
        <v/>
      </c>
      <c r="H58" s="5">
        <f>IFERROR('WEEKLY INPUT'!H58/'WEEKLY INPUT'!F58*90,0)</f>
        <v/>
      </c>
      <c r="I58" s="5">
        <f>IFERROR('WEEKLY INPUT'!I58/'WEEKLY INPUT'!F58*90,0)</f>
        <v/>
      </c>
      <c r="J58" s="5">
        <f>H58+I58</f>
        <v/>
      </c>
      <c r="K58" s="5">
        <f>IFERROR('WEEKLY INPUT'!J58/'WEEKLY INPUT'!F58*90,0)</f>
        <v/>
      </c>
      <c r="L58" s="5">
        <f>IFERROR('WEEKLY INPUT'!K58/'WEEKLY INPUT'!F58*90,0)</f>
        <v/>
      </c>
      <c r="M58" s="5">
        <f>IFERROR('WEEKLY INPUT'!L58/'WEEKLY INPUT'!F58*90,0)</f>
        <v/>
      </c>
      <c r="N58" s="5">
        <f>IFERROR('WEEKLY INPUT'!M58/'WEEKLY INPUT'!F58*90,0)</f>
        <v/>
      </c>
      <c r="O58" s="5">
        <f>IFERROR('WEEKLY INPUT'!N58/'WEEKLY INPUT'!F58*90,0)</f>
        <v/>
      </c>
      <c r="P58" s="5">
        <f>IFERROR('WEEKLY INPUT'!O58/'WEEKLY INPUT'!F58*90,0)</f>
        <v/>
      </c>
      <c r="Q58" s="5">
        <f>IFERROR(('WEEKLY INPUT'!J58*2+'WEEKLY INPUT'!K58*1+'WEEKLY INPUT'!O58*0.2)/'WEEKLY INPUT'!F58,0)</f>
        <v/>
      </c>
      <c r="R58" s="5">
        <f>MAX(0.25,MIN(1.15,(F58/540)*0.5+G58*0.5))</f>
        <v/>
      </c>
      <c r="S58" s="5">
        <f>MAX(0.70,MIN(1.10,0.85+0.15*G58))</f>
        <v/>
      </c>
      <c r="T58" s="5">
        <f>IF(A58="","",2*('WEEKLY INPUT'!P58/90)+(H58*5+I58*3)*('WEEKLY INPUT'!P58/90)+(P58*0.15)*('WEEKLY INPUT'!P58/90)+Q58*0.25)</f>
        <v/>
      </c>
      <c r="U58" s="5">
        <f>IF($A58="","",$T58*(1+($3-'WEEKLY INPUT'!R58)*0.10)*$R58*$S58*1.0)</f>
        <v/>
      </c>
      <c r="V58" s="5">
        <f>IF($A58="","",$T58*(1+($3-'WEEKLY INPUT'!S58)*0.10)*$R58*$S58*0.975)</f>
        <v/>
      </c>
      <c r="W58" s="5">
        <f>IF($A58="","",$T58*(1+($3-'WEEKLY INPUT'!T58)*0.10)*$R58*$S58*0.95)</f>
        <v/>
      </c>
      <c r="X58" s="5">
        <f>IF($A58="","",$T58*(1+($3-'WEEKLY INPUT'!U58)*0.10)*$R58*$S58*0.925)</f>
        <v/>
      </c>
      <c r="Y58" s="5">
        <f>IF($A58="","",$T58*(1+($3-'WEEKLY INPUT'!V58)*0.10)*$R58*$S58*0.9)</f>
        <v/>
      </c>
      <c r="Z58" s="5">
        <f>IF($A58="","",$T58*(1+($3-'WEEKLY INPUT'!W58)*0.10)*$R58*$S58*0.875)</f>
        <v/>
      </c>
      <c r="AA58" s="5">
        <f>IF($A58="","",$T58*(1+($3-'WEEKLY INPUT'!X58)*0.10)*$R58*$S58*0.85)</f>
        <v/>
      </c>
      <c r="AB58" s="5">
        <f>IF($A58="","",$T58*(1+($3-'WEEKLY INPUT'!Y58)*0.10)*$R58*$S58*0.825)</f>
        <v/>
      </c>
      <c r="AC58" s="5">
        <f>SUM(U58:AB58)</f>
        <v/>
      </c>
      <c r="AD58" s="5">
        <f>SUM(U58:Z58)</f>
        <v/>
      </c>
      <c r="AE58" s="5">
        <f>IFERROR(AD58/D58,0)</f>
        <v/>
      </c>
      <c r="AF58" s="5">
        <f>MAX(0,1-R58)</f>
        <v/>
      </c>
      <c r="AG58" s="5">
        <f>IFERROR((H58+I58)*R58*(1+0.10*(3-'WEEKLY INPUT'!R58)),"")</f>
        <v/>
      </c>
      <c r="AH58" s="5">
        <f>IFERROR(AG58/SUMPRODUCT($AG$6:$AG$205),"")</f>
        <v/>
      </c>
      <c r="AI58" s="5">
        <f>IFERROR(AD58*(1-AF58*0.5)*(1+0.15*AE58),0)</f>
        <v/>
      </c>
      <c r="AJ58" s="5">
        <f>IF(A58="","",RANK(AI58,$AI$6:$AI$205,0))</f>
        <v/>
      </c>
      <c r="AK58" s="5">
        <f>IFERROR('WEEKLY INPUT'!Z58,"")</f>
        <v/>
      </c>
    </row>
    <row r="59">
      <c r="A59" s="5">
        <f>IFERROR('WEEKLY INPUT'!A59,"")</f>
        <v/>
      </c>
      <c r="B59" s="5">
        <f>IFERROR('WEEKLY INPUT'!B59,"")</f>
        <v/>
      </c>
      <c r="C59" s="5">
        <f>IFERROR('WEEKLY INPUT'!C59,"")</f>
        <v/>
      </c>
      <c r="D59" s="5">
        <f>IFERROR('WEEKLY INPUT'!D59,0)</f>
        <v/>
      </c>
      <c r="E59" s="5">
        <f>IFERROR('WEEKLY INPUT'!E59,0)</f>
        <v/>
      </c>
      <c r="F59" s="5">
        <f>IFERROR('WEEKLY INPUT'!F59,0)</f>
        <v/>
      </c>
      <c r="G59" s="5">
        <f>IFERROR('WEEKLY INPUT'!Q59,0)</f>
        <v/>
      </c>
      <c r="H59" s="5">
        <f>IFERROR('WEEKLY INPUT'!H59/'WEEKLY INPUT'!F59*90,0)</f>
        <v/>
      </c>
      <c r="I59" s="5">
        <f>IFERROR('WEEKLY INPUT'!I59/'WEEKLY INPUT'!F59*90,0)</f>
        <v/>
      </c>
      <c r="J59" s="5">
        <f>H59+I59</f>
        <v/>
      </c>
      <c r="K59" s="5">
        <f>IFERROR('WEEKLY INPUT'!J59/'WEEKLY INPUT'!F59*90,0)</f>
        <v/>
      </c>
      <c r="L59" s="5">
        <f>IFERROR('WEEKLY INPUT'!K59/'WEEKLY INPUT'!F59*90,0)</f>
        <v/>
      </c>
      <c r="M59" s="5">
        <f>IFERROR('WEEKLY INPUT'!L59/'WEEKLY INPUT'!F59*90,0)</f>
        <v/>
      </c>
      <c r="N59" s="5">
        <f>IFERROR('WEEKLY INPUT'!M59/'WEEKLY INPUT'!F59*90,0)</f>
        <v/>
      </c>
      <c r="O59" s="5">
        <f>IFERROR('WEEKLY INPUT'!N59/'WEEKLY INPUT'!F59*90,0)</f>
        <v/>
      </c>
      <c r="P59" s="5">
        <f>IFERROR('WEEKLY INPUT'!O59/'WEEKLY INPUT'!F59*90,0)</f>
        <v/>
      </c>
      <c r="Q59" s="5">
        <f>IFERROR(('WEEKLY INPUT'!J59*2+'WEEKLY INPUT'!K59*1+'WEEKLY INPUT'!O59*0.2)/'WEEKLY INPUT'!F59,0)</f>
        <v/>
      </c>
      <c r="R59" s="5">
        <f>MAX(0.25,MIN(1.15,(F59/540)*0.5+G59*0.5))</f>
        <v/>
      </c>
      <c r="S59" s="5">
        <f>MAX(0.70,MIN(1.10,0.85+0.15*G59))</f>
        <v/>
      </c>
      <c r="T59" s="5">
        <f>IF(A59="","",2*('WEEKLY INPUT'!P59/90)+(H59*5+I59*3)*('WEEKLY INPUT'!P59/90)+(P59*0.15)*('WEEKLY INPUT'!P59/90)+Q59*0.25)</f>
        <v/>
      </c>
      <c r="U59" s="5">
        <f>IF($A59="","",$T59*(1+($3-'WEEKLY INPUT'!R59)*0.10)*$R59*$S59*1.0)</f>
        <v/>
      </c>
      <c r="V59" s="5">
        <f>IF($A59="","",$T59*(1+($3-'WEEKLY INPUT'!S59)*0.10)*$R59*$S59*0.975)</f>
        <v/>
      </c>
      <c r="W59" s="5">
        <f>IF($A59="","",$T59*(1+($3-'WEEKLY INPUT'!T59)*0.10)*$R59*$S59*0.95)</f>
        <v/>
      </c>
      <c r="X59" s="5">
        <f>IF($A59="","",$T59*(1+($3-'WEEKLY INPUT'!U59)*0.10)*$R59*$S59*0.925)</f>
        <v/>
      </c>
      <c r="Y59" s="5">
        <f>IF($A59="","",$T59*(1+($3-'WEEKLY INPUT'!V59)*0.10)*$R59*$S59*0.9)</f>
        <v/>
      </c>
      <c r="Z59" s="5">
        <f>IF($A59="","",$T59*(1+($3-'WEEKLY INPUT'!W59)*0.10)*$R59*$S59*0.875)</f>
        <v/>
      </c>
      <c r="AA59" s="5">
        <f>IF($A59="","",$T59*(1+($3-'WEEKLY INPUT'!X59)*0.10)*$R59*$S59*0.85)</f>
        <v/>
      </c>
      <c r="AB59" s="5">
        <f>IF($A59="","",$T59*(1+($3-'WEEKLY INPUT'!Y59)*0.10)*$R59*$S59*0.825)</f>
        <v/>
      </c>
      <c r="AC59" s="5">
        <f>SUM(U59:AB59)</f>
        <v/>
      </c>
      <c r="AD59" s="5">
        <f>SUM(U59:Z59)</f>
        <v/>
      </c>
      <c r="AE59" s="5">
        <f>IFERROR(AD59/D59,0)</f>
        <v/>
      </c>
      <c r="AF59" s="5">
        <f>MAX(0,1-R59)</f>
        <v/>
      </c>
      <c r="AG59" s="5">
        <f>IFERROR((H59+I59)*R59*(1+0.10*(3-'WEEKLY INPUT'!R59)),"")</f>
        <v/>
      </c>
      <c r="AH59" s="5">
        <f>IFERROR(AG59/SUMPRODUCT($AG$6:$AG$205),"")</f>
        <v/>
      </c>
      <c r="AI59" s="5">
        <f>IFERROR(AD59*(1-AF59*0.5)*(1+0.15*AE59),0)</f>
        <v/>
      </c>
      <c r="AJ59" s="5">
        <f>IF(A59="","",RANK(AI59,$AI$6:$AI$205,0))</f>
        <v/>
      </c>
      <c r="AK59" s="5">
        <f>IFERROR('WEEKLY INPUT'!Z59,"")</f>
        <v/>
      </c>
    </row>
    <row r="60">
      <c r="A60" s="5">
        <f>IFERROR('WEEKLY INPUT'!A60,"")</f>
        <v/>
      </c>
      <c r="B60" s="5">
        <f>IFERROR('WEEKLY INPUT'!B60,"")</f>
        <v/>
      </c>
      <c r="C60" s="5">
        <f>IFERROR('WEEKLY INPUT'!C60,"")</f>
        <v/>
      </c>
      <c r="D60" s="5">
        <f>IFERROR('WEEKLY INPUT'!D60,0)</f>
        <v/>
      </c>
      <c r="E60" s="5">
        <f>IFERROR('WEEKLY INPUT'!E60,0)</f>
        <v/>
      </c>
      <c r="F60" s="5">
        <f>IFERROR('WEEKLY INPUT'!F60,0)</f>
        <v/>
      </c>
      <c r="G60" s="5">
        <f>IFERROR('WEEKLY INPUT'!Q60,0)</f>
        <v/>
      </c>
      <c r="H60" s="5">
        <f>IFERROR('WEEKLY INPUT'!H60/'WEEKLY INPUT'!F60*90,0)</f>
        <v/>
      </c>
      <c r="I60" s="5">
        <f>IFERROR('WEEKLY INPUT'!I60/'WEEKLY INPUT'!F60*90,0)</f>
        <v/>
      </c>
      <c r="J60" s="5">
        <f>H60+I60</f>
        <v/>
      </c>
      <c r="K60" s="5">
        <f>IFERROR('WEEKLY INPUT'!J60/'WEEKLY INPUT'!F60*90,0)</f>
        <v/>
      </c>
      <c r="L60" s="5">
        <f>IFERROR('WEEKLY INPUT'!K60/'WEEKLY INPUT'!F60*90,0)</f>
        <v/>
      </c>
      <c r="M60" s="5">
        <f>IFERROR('WEEKLY INPUT'!L60/'WEEKLY INPUT'!F60*90,0)</f>
        <v/>
      </c>
      <c r="N60" s="5">
        <f>IFERROR('WEEKLY INPUT'!M60/'WEEKLY INPUT'!F60*90,0)</f>
        <v/>
      </c>
      <c r="O60" s="5">
        <f>IFERROR('WEEKLY INPUT'!N60/'WEEKLY INPUT'!F60*90,0)</f>
        <v/>
      </c>
      <c r="P60" s="5">
        <f>IFERROR('WEEKLY INPUT'!O60/'WEEKLY INPUT'!F60*90,0)</f>
        <v/>
      </c>
      <c r="Q60" s="5">
        <f>IFERROR(('WEEKLY INPUT'!J60*2+'WEEKLY INPUT'!K60*1+'WEEKLY INPUT'!O60*0.2)/'WEEKLY INPUT'!F60,0)</f>
        <v/>
      </c>
      <c r="R60" s="5">
        <f>MAX(0.25,MIN(1.15,(F60/540)*0.5+G60*0.5))</f>
        <v/>
      </c>
      <c r="S60" s="5">
        <f>MAX(0.70,MIN(1.10,0.85+0.15*G60))</f>
        <v/>
      </c>
      <c r="T60" s="5">
        <f>IF(A60="","",2*('WEEKLY INPUT'!P60/90)+(H60*5+I60*3)*('WEEKLY INPUT'!P60/90)+(P60*0.15)*('WEEKLY INPUT'!P60/90)+Q60*0.25)</f>
        <v/>
      </c>
      <c r="U60" s="5">
        <f>IF($A60="","",$T60*(1+($3-'WEEKLY INPUT'!R60)*0.10)*$R60*$S60*1.0)</f>
        <v/>
      </c>
      <c r="V60" s="5">
        <f>IF($A60="","",$T60*(1+($3-'WEEKLY INPUT'!S60)*0.10)*$R60*$S60*0.975)</f>
        <v/>
      </c>
      <c r="W60" s="5">
        <f>IF($A60="","",$T60*(1+($3-'WEEKLY INPUT'!T60)*0.10)*$R60*$S60*0.95)</f>
        <v/>
      </c>
      <c r="X60" s="5">
        <f>IF($A60="","",$T60*(1+($3-'WEEKLY INPUT'!U60)*0.10)*$R60*$S60*0.925)</f>
        <v/>
      </c>
      <c r="Y60" s="5">
        <f>IF($A60="","",$T60*(1+($3-'WEEKLY INPUT'!V60)*0.10)*$R60*$S60*0.9)</f>
        <v/>
      </c>
      <c r="Z60" s="5">
        <f>IF($A60="","",$T60*(1+($3-'WEEKLY INPUT'!W60)*0.10)*$R60*$S60*0.875)</f>
        <v/>
      </c>
      <c r="AA60" s="5">
        <f>IF($A60="","",$T60*(1+($3-'WEEKLY INPUT'!X60)*0.10)*$R60*$S60*0.85)</f>
        <v/>
      </c>
      <c r="AB60" s="5">
        <f>IF($A60="","",$T60*(1+($3-'WEEKLY INPUT'!Y60)*0.10)*$R60*$S60*0.825)</f>
        <v/>
      </c>
      <c r="AC60" s="5">
        <f>SUM(U60:AB60)</f>
        <v/>
      </c>
      <c r="AD60" s="5">
        <f>SUM(U60:Z60)</f>
        <v/>
      </c>
      <c r="AE60" s="5">
        <f>IFERROR(AD60/D60,0)</f>
        <v/>
      </c>
      <c r="AF60" s="5">
        <f>MAX(0,1-R60)</f>
        <v/>
      </c>
      <c r="AG60" s="5">
        <f>IFERROR((H60+I60)*R60*(1+0.10*(3-'WEEKLY INPUT'!R60)),"")</f>
        <v/>
      </c>
      <c r="AH60" s="5">
        <f>IFERROR(AG60/SUMPRODUCT($AG$6:$AG$205),"")</f>
        <v/>
      </c>
      <c r="AI60" s="5">
        <f>IFERROR(AD60*(1-AF60*0.5)*(1+0.15*AE60),0)</f>
        <v/>
      </c>
      <c r="AJ60" s="5">
        <f>IF(A60="","",RANK(AI60,$AI$6:$AI$205,0))</f>
        <v/>
      </c>
      <c r="AK60" s="5">
        <f>IFERROR('WEEKLY INPUT'!Z60,"")</f>
        <v/>
      </c>
    </row>
    <row r="61">
      <c r="A61" s="5">
        <f>IFERROR('WEEKLY INPUT'!A61,"")</f>
        <v/>
      </c>
      <c r="B61" s="5">
        <f>IFERROR('WEEKLY INPUT'!B61,"")</f>
        <v/>
      </c>
      <c r="C61" s="5">
        <f>IFERROR('WEEKLY INPUT'!C61,"")</f>
        <v/>
      </c>
      <c r="D61" s="5">
        <f>IFERROR('WEEKLY INPUT'!D61,0)</f>
        <v/>
      </c>
      <c r="E61" s="5">
        <f>IFERROR('WEEKLY INPUT'!E61,0)</f>
        <v/>
      </c>
      <c r="F61" s="5">
        <f>IFERROR('WEEKLY INPUT'!F61,0)</f>
        <v/>
      </c>
      <c r="G61" s="5">
        <f>IFERROR('WEEKLY INPUT'!Q61,0)</f>
        <v/>
      </c>
      <c r="H61" s="5">
        <f>IFERROR('WEEKLY INPUT'!H61/'WEEKLY INPUT'!F61*90,0)</f>
        <v/>
      </c>
      <c r="I61" s="5">
        <f>IFERROR('WEEKLY INPUT'!I61/'WEEKLY INPUT'!F61*90,0)</f>
        <v/>
      </c>
      <c r="J61" s="5">
        <f>H61+I61</f>
        <v/>
      </c>
      <c r="K61" s="5">
        <f>IFERROR('WEEKLY INPUT'!J61/'WEEKLY INPUT'!F61*90,0)</f>
        <v/>
      </c>
      <c r="L61" s="5">
        <f>IFERROR('WEEKLY INPUT'!K61/'WEEKLY INPUT'!F61*90,0)</f>
        <v/>
      </c>
      <c r="M61" s="5">
        <f>IFERROR('WEEKLY INPUT'!L61/'WEEKLY INPUT'!F61*90,0)</f>
        <v/>
      </c>
      <c r="N61" s="5">
        <f>IFERROR('WEEKLY INPUT'!M61/'WEEKLY INPUT'!F61*90,0)</f>
        <v/>
      </c>
      <c r="O61" s="5">
        <f>IFERROR('WEEKLY INPUT'!N61/'WEEKLY INPUT'!F61*90,0)</f>
        <v/>
      </c>
      <c r="P61" s="5">
        <f>IFERROR('WEEKLY INPUT'!O61/'WEEKLY INPUT'!F61*90,0)</f>
        <v/>
      </c>
      <c r="Q61" s="5">
        <f>IFERROR(('WEEKLY INPUT'!J61*2+'WEEKLY INPUT'!K61*1+'WEEKLY INPUT'!O61*0.2)/'WEEKLY INPUT'!F61,0)</f>
        <v/>
      </c>
      <c r="R61" s="5">
        <f>MAX(0.25,MIN(1.15,(F61/540)*0.5+G61*0.5))</f>
        <v/>
      </c>
      <c r="S61" s="5">
        <f>MAX(0.70,MIN(1.10,0.85+0.15*G61))</f>
        <v/>
      </c>
      <c r="T61" s="5">
        <f>IF(A61="","",2*('WEEKLY INPUT'!P61/90)+(H61*5+I61*3)*('WEEKLY INPUT'!P61/90)+(P61*0.15)*('WEEKLY INPUT'!P61/90)+Q61*0.25)</f>
        <v/>
      </c>
      <c r="U61" s="5">
        <f>IF($A61="","",$T61*(1+($3-'WEEKLY INPUT'!R61)*0.10)*$R61*$S61*1.0)</f>
        <v/>
      </c>
      <c r="V61" s="5">
        <f>IF($A61="","",$T61*(1+($3-'WEEKLY INPUT'!S61)*0.10)*$R61*$S61*0.975)</f>
        <v/>
      </c>
      <c r="W61" s="5">
        <f>IF($A61="","",$T61*(1+($3-'WEEKLY INPUT'!T61)*0.10)*$R61*$S61*0.95)</f>
        <v/>
      </c>
      <c r="X61" s="5">
        <f>IF($A61="","",$T61*(1+($3-'WEEKLY INPUT'!U61)*0.10)*$R61*$S61*0.925)</f>
        <v/>
      </c>
      <c r="Y61" s="5">
        <f>IF($A61="","",$T61*(1+($3-'WEEKLY INPUT'!V61)*0.10)*$R61*$S61*0.9)</f>
        <v/>
      </c>
      <c r="Z61" s="5">
        <f>IF($A61="","",$T61*(1+($3-'WEEKLY INPUT'!W61)*0.10)*$R61*$S61*0.875)</f>
        <v/>
      </c>
      <c r="AA61" s="5">
        <f>IF($A61="","",$T61*(1+($3-'WEEKLY INPUT'!X61)*0.10)*$R61*$S61*0.85)</f>
        <v/>
      </c>
      <c r="AB61" s="5">
        <f>IF($A61="","",$T61*(1+($3-'WEEKLY INPUT'!Y61)*0.10)*$R61*$S61*0.825)</f>
        <v/>
      </c>
      <c r="AC61" s="5">
        <f>SUM(U61:AB61)</f>
        <v/>
      </c>
      <c r="AD61" s="5">
        <f>SUM(U61:Z61)</f>
        <v/>
      </c>
      <c r="AE61" s="5">
        <f>IFERROR(AD61/D61,0)</f>
        <v/>
      </c>
      <c r="AF61" s="5">
        <f>MAX(0,1-R61)</f>
        <v/>
      </c>
      <c r="AG61" s="5">
        <f>IFERROR((H61+I61)*R61*(1+0.10*(3-'WEEKLY INPUT'!R61)),"")</f>
        <v/>
      </c>
      <c r="AH61" s="5">
        <f>IFERROR(AG61/SUMPRODUCT($AG$6:$AG$205),"")</f>
        <v/>
      </c>
      <c r="AI61" s="5">
        <f>IFERROR(AD61*(1-AF61*0.5)*(1+0.15*AE61),0)</f>
        <v/>
      </c>
      <c r="AJ61" s="5">
        <f>IF(A61="","",RANK(AI61,$AI$6:$AI$205,0))</f>
        <v/>
      </c>
      <c r="AK61" s="5">
        <f>IFERROR('WEEKLY INPUT'!Z61,"")</f>
        <v/>
      </c>
    </row>
    <row r="62">
      <c r="A62" s="5">
        <f>IFERROR('WEEKLY INPUT'!A62,"")</f>
        <v/>
      </c>
      <c r="B62" s="5">
        <f>IFERROR('WEEKLY INPUT'!B62,"")</f>
        <v/>
      </c>
      <c r="C62" s="5">
        <f>IFERROR('WEEKLY INPUT'!C62,"")</f>
        <v/>
      </c>
      <c r="D62" s="5">
        <f>IFERROR('WEEKLY INPUT'!D62,0)</f>
        <v/>
      </c>
      <c r="E62" s="5">
        <f>IFERROR('WEEKLY INPUT'!E62,0)</f>
        <v/>
      </c>
      <c r="F62" s="5">
        <f>IFERROR('WEEKLY INPUT'!F62,0)</f>
        <v/>
      </c>
      <c r="G62" s="5">
        <f>IFERROR('WEEKLY INPUT'!Q62,0)</f>
        <v/>
      </c>
      <c r="H62" s="5">
        <f>IFERROR('WEEKLY INPUT'!H62/'WEEKLY INPUT'!F62*90,0)</f>
        <v/>
      </c>
      <c r="I62" s="5">
        <f>IFERROR('WEEKLY INPUT'!I62/'WEEKLY INPUT'!F62*90,0)</f>
        <v/>
      </c>
      <c r="J62" s="5">
        <f>H62+I62</f>
        <v/>
      </c>
      <c r="K62" s="5">
        <f>IFERROR('WEEKLY INPUT'!J62/'WEEKLY INPUT'!F62*90,0)</f>
        <v/>
      </c>
      <c r="L62" s="5">
        <f>IFERROR('WEEKLY INPUT'!K62/'WEEKLY INPUT'!F62*90,0)</f>
        <v/>
      </c>
      <c r="M62" s="5">
        <f>IFERROR('WEEKLY INPUT'!L62/'WEEKLY INPUT'!F62*90,0)</f>
        <v/>
      </c>
      <c r="N62" s="5">
        <f>IFERROR('WEEKLY INPUT'!M62/'WEEKLY INPUT'!F62*90,0)</f>
        <v/>
      </c>
      <c r="O62" s="5">
        <f>IFERROR('WEEKLY INPUT'!N62/'WEEKLY INPUT'!F62*90,0)</f>
        <v/>
      </c>
      <c r="P62" s="5">
        <f>IFERROR('WEEKLY INPUT'!O62/'WEEKLY INPUT'!F62*90,0)</f>
        <v/>
      </c>
      <c r="Q62" s="5">
        <f>IFERROR(('WEEKLY INPUT'!J62*2+'WEEKLY INPUT'!K62*1+'WEEKLY INPUT'!O62*0.2)/'WEEKLY INPUT'!F62,0)</f>
        <v/>
      </c>
      <c r="R62" s="5">
        <f>MAX(0.25,MIN(1.15,(F62/540)*0.5+G62*0.5))</f>
        <v/>
      </c>
      <c r="S62" s="5">
        <f>MAX(0.70,MIN(1.10,0.85+0.15*G62))</f>
        <v/>
      </c>
      <c r="T62" s="5">
        <f>IF(A62="","",2*('WEEKLY INPUT'!P62/90)+(H62*5+I62*3)*('WEEKLY INPUT'!P62/90)+(P62*0.15)*('WEEKLY INPUT'!P62/90)+Q62*0.25)</f>
        <v/>
      </c>
      <c r="U62" s="5">
        <f>IF($A62="","",$T62*(1+($3-'WEEKLY INPUT'!R62)*0.10)*$R62*$S62*1.0)</f>
        <v/>
      </c>
      <c r="V62" s="5">
        <f>IF($A62="","",$T62*(1+($3-'WEEKLY INPUT'!S62)*0.10)*$R62*$S62*0.975)</f>
        <v/>
      </c>
      <c r="W62" s="5">
        <f>IF($A62="","",$T62*(1+($3-'WEEKLY INPUT'!T62)*0.10)*$R62*$S62*0.95)</f>
        <v/>
      </c>
      <c r="X62" s="5">
        <f>IF($A62="","",$T62*(1+($3-'WEEKLY INPUT'!U62)*0.10)*$R62*$S62*0.925)</f>
        <v/>
      </c>
      <c r="Y62" s="5">
        <f>IF($A62="","",$T62*(1+($3-'WEEKLY INPUT'!V62)*0.10)*$R62*$S62*0.9)</f>
        <v/>
      </c>
      <c r="Z62" s="5">
        <f>IF($A62="","",$T62*(1+($3-'WEEKLY INPUT'!W62)*0.10)*$R62*$S62*0.875)</f>
        <v/>
      </c>
      <c r="AA62" s="5">
        <f>IF($A62="","",$T62*(1+($3-'WEEKLY INPUT'!X62)*0.10)*$R62*$S62*0.85)</f>
        <v/>
      </c>
      <c r="AB62" s="5">
        <f>IF($A62="","",$T62*(1+($3-'WEEKLY INPUT'!Y62)*0.10)*$R62*$S62*0.825)</f>
        <v/>
      </c>
      <c r="AC62" s="5">
        <f>SUM(U62:AB62)</f>
        <v/>
      </c>
      <c r="AD62" s="5">
        <f>SUM(U62:Z62)</f>
        <v/>
      </c>
      <c r="AE62" s="5">
        <f>IFERROR(AD62/D62,0)</f>
        <v/>
      </c>
      <c r="AF62" s="5">
        <f>MAX(0,1-R62)</f>
        <v/>
      </c>
      <c r="AG62" s="5">
        <f>IFERROR((H62+I62)*R62*(1+0.10*(3-'WEEKLY INPUT'!R62)),"")</f>
        <v/>
      </c>
      <c r="AH62" s="5">
        <f>IFERROR(AG62/SUMPRODUCT($AG$6:$AG$205),"")</f>
        <v/>
      </c>
      <c r="AI62" s="5">
        <f>IFERROR(AD62*(1-AF62*0.5)*(1+0.15*AE62),0)</f>
        <v/>
      </c>
      <c r="AJ62" s="5">
        <f>IF(A62="","",RANK(AI62,$AI$6:$AI$205,0))</f>
        <v/>
      </c>
      <c r="AK62" s="5">
        <f>IFERROR('WEEKLY INPUT'!Z62,"")</f>
        <v/>
      </c>
    </row>
    <row r="63">
      <c r="A63" s="5">
        <f>IFERROR('WEEKLY INPUT'!A63,"")</f>
        <v/>
      </c>
      <c r="B63" s="5">
        <f>IFERROR('WEEKLY INPUT'!B63,"")</f>
        <v/>
      </c>
      <c r="C63" s="5">
        <f>IFERROR('WEEKLY INPUT'!C63,"")</f>
        <v/>
      </c>
      <c r="D63" s="5">
        <f>IFERROR('WEEKLY INPUT'!D63,0)</f>
        <v/>
      </c>
      <c r="E63" s="5">
        <f>IFERROR('WEEKLY INPUT'!E63,0)</f>
        <v/>
      </c>
      <c r="F63" s="5">
        <f>IFERROR('WEEKLY INPUT'!F63,0)</f>
        <v/>
      </c>
      <c r="G63" s="5">
        <f>IFERROR('WEEKLY INPUT'!Q63,0)</f>
        <v/>
      </c>
      <c r="H63" s="5">
        <f>IFERROR('WEEKLY INPUT'!H63/'WEEKLY INPUT'!F63*90,0)</f>
        <v/>
      </c>
      <c r="I63" s="5">
        <f>IFERROR('WEEKLY INPUT'!I63/'WEEKLY INPUT'!F63*90,0)</f>
        <v/>
      </c>
      <c r="J63" s="5">
        <f>H63+I63</f>
        <v/>
      </c>
      <c r="K63" s="5">
        <f>IFERROR('WEEKLY INPUT'!J63/'WEEKLY INPUT'!F63*90,0)</f>
        <v/>
      </c>
      <c r="L63" s="5">
        <f>IFERROR('WEEKLY INPUT'!K63/'WEEKLY INPUT'!F63*90,0)</f>
        <v/>
      </c>
      <c r="M63" s="5">
        <f>IFERROR('WEEKLY INPUT'!L63/'WEEKLY INPUT'!F63*90,0)</f>
        <v/>
      </c>
      <c r="N63" s="5">
        <f>IFERROR('WEEKLY INPUT'!M63/'WEEKLY INPUT'!F63*90,0)</f>
        <v/>
      </c>
      <c r="O63" s="5">
        <f>IFERROR('WEEKLY INPUT'!N63/'WEEKLY INPUT'!F63*90,0)</f>
        <v/>
      </c>
      <c r="P63" s="5">
        <f>IFERROR('WEEKLY INPUT'!O63/'WEEKLY INPUT'!F63*90,0)</f>
        <v/>
      </c>
      <c r="Q63" s="5">
        <f>IFERROR(('WEEKLY INPUT'!J63*2+'WEEKLY INPUT'!K63*1+'WEEKLY INPUT'!O63*0.2)/'WEEKLY INPUT'!F63,0)</f>
        <v/>
      </c>
      <c r="R63" s="5">
        <f>MAX(0.25,MIN(1.15,(F63/540)*0.5+G63*0.5))</f>
        <v/>
      </c>
      <c r="S63" s="5">
        <f>MAX(0.70,MIN(1.10,0.85+0.15*G63))</f>
        <v/>
      </c>
      <c r="T63" s="5">
        <f>IF(A63="","",2*('WEEKLY INPUT'!P63/90)+(H63*5+I63*3)*('WEEKLY INPUT'!P63/90)+(P63*0.15)*('WEEKLY INPUT'!P63/90)+Q63*0.25)</f>
        <v/>
      </c>
      <c r="U63" s="5">
        <f>IF($A63="","",$T63*(1+($3-'WEEKLY INPUT'!R63)*0.10)*$R63*$S63*1.0)</f>
        <v/>
      </c>
      <c r="V63" s="5">
        <f>IF($A63="","",$T63*(1+($3-'WEEKLY INPUT'!S63)*0.10)*$R63*$S63*0.975)</f>
        <v/>
      </c>
      <c r="W63" s="5">
        <f>IF($A63="","",$T63*(1+($3-'WEEKLY INPUT'!T63)*0.10)*$R63*$S63*0.95)</f>
        <v/>
      </c>
      <c r="X63" s="5">
        <f>IF($A63="","",$T63*(1+($3-'WEEKLY INPUT'!U63)*0.10)*$R63*$S63*0.925)</f>
        <v/>
      </c>
      <c r="Y63" s="5">
        <f>IF($A63="","",$T63*(1+($3-'WEEKLY INPUT'!V63)*0.10)*$R63*$S63*0.9)</f>
        <v/>
      </c>
      <c r="Z63" s="5">
        <f>IF($A63="","",$T63*(1+($3-'WEEKLY INPUT'!W63)*0.10)*$R63*$S63*0.875)</f>
        <v/>
      </c>
      <c r="AA63" s="5">
        <f>IF($A63="","",$T63*(1+($3-'WEEKLY INPUT'!X63)*0.10)*$R63*$S63*0.85)</f>
        <v/>
      </c>
      <c r="AB63" s="5">
        <f>IF($A63="","",$T63*(1+($3-'WEEKLY INPUT'!Y63)*0.10)*$R63*$S63*0.825)</f>
        <v/>
      </c>
      <c r="AC63" s="5">
        <f>SUM(U63:AB63)</f>
        <v/>
      </c>
      <c r="AD63" s="5">
        <f>SUM(U63:Z63)</f>
        <v/>
      </c>
      <c r="AE63" s="5">
        <f>IFERROR(AD63/D63,0)</f>
        <v/>
      </c>
      <c r="AF63" s="5">
        <f>MAX(0,1-R63)</f>
        <v/>
      </c>
      <c r="AG63" s="5">
        <f>IFERROR((H63+I63)*R63*(1+0.10*(3-'WEEKLY INPUT'!R63)),"")</f>
        <v/>
      </c>
      <c r="AH63" s="5">
        <f>IFERROR(AG63/SUMPRODUCT($AG$6:$AG$205),"")</f>
        <v/>
      </c>
      <c r="AI63" s="5">
        <f>IFERROR(AD63*(1-AF63*0.5)*(1+0.15*AE63),0)</f>
        <v/>
      </c>
      <c r="AJ63" s="5">
        <f>IF(A63="","",RANK(AI63,$AI$6:$AI$205,0))</f>
        <v/>
      </c>
      <c r="AK63" s="5">
        <f>IFERROR('WEEKLY INPUT'!Z63,"")</f>
        <v/>
      </c>
    </row>
    <row r="64">
      <c r="A64" s="5">
        <f>IFERROR('WEEKLY INPUT'!A64,"")</f>
        <v/>
      </c>
      <c r="B64" s="5">
        <f>IFERROR('WEEKLY INPUT'!B64,"")</f>
        <v/>
      </c>
      <c r="C64" s="5">
        <f>IFERROR('WEEKLY INPUT'!C64,"")</f>
        <v/>
      </c>
      <c r="D64" s="5">
        <f>IFERROR('WEEKLY INPUT'!D64,0)</f>
        <v/>
      </c>
      <c r="E64" s="5">
        <f>IFERROR('WEEKLY INPUT'!E64,0)</f>
        <v/>
      </c>
      <c r="F64" s="5">
        <f>IFERROR('WEEKLY INPUT'!F64,0)</f>
        <v/>
      </c>
      <c r="G64" s="5">
        <f>IFERROR('WEEKLY INPUT'!Q64,0)</f>
        <v/>
      </c>
      <c r="H64" s="5">
        <f>IFERROR('WEEKLY INPUT'!H64/'WEEKLY INPUT'!F64*90,0)</f>
        <v/>
      </c>
      <c r="I64" s="5">
        <f>IFERROR('WEEKLY INPUT'!I64/'WEEKLY INPUT'!F64*90,0)</f>
        <v/>
      </c>
      <c r="J64" s="5">
        <f>H64+I64</f>
        <v/>
      </c>
      <c r="K64" s="5">
        <f>IFERROR('WEEKLY INPUT'!J64/'WEEKLY INPUT'!F64*90,0)</f>
        <v/>
      </c>
      <c r="L64" s="5">
        <f>IFERROR('WEEKLY INPUT'!K64/'WEEKLY INPUT'!F64*90,0)</f>
        <v/>
      </c>
      <c r="M64" s="5">
        <f>IFERROR('WEEKLY INPUT'!L64/'WEEKLY INPUT'!F64*90,0)</f>
        <v/>
      </c>
      <c r="N64" s="5">
        <f>IFERROR('WEEKLY INPUT'!M64/'WEEKLY INPUT'!F64*90,0)</f>
        <v/>
      </c>
      <c r="O64" s="5">
        <f>IFERROR('WEEKLY INPUT'!N64/'WEEKLY INPUT'!F64*90,0)</f>
        <v/>
      </c>
      <c r="P64" s="5">
        <f>IFERROR('WEEKLY INPUT'!O64/'WEEKLY INPUT'!F64*90,0)</f>
        <v/>
      </c>
      <c r="Q64" s="5">
        <f>IFERROR(('WEEKLY INPUT'!J64*2+'WEEKLY INPUT'!K64*1+'WEEKLY INPUT'!O64*0.2)/'WEEKLY INPUT'!F64,0)</f>
        <v/>
      </c>
      <c r="R64" s="5">
        <f>MAX(0.25,MIN(1.15,(F64/540)*0.5+G64*0.5))</f>
        <v/>
      </c>
      <c r="S64" s="5">
        <f>MAX(0.70,MIN(1.10,0.85+0.15*G64))</f>
        <v/>
      </c>
      <c r="T64" s="5">
        <f>IF(A64="","",2*('WEEKLY INPUT'!P64/90)+(H64*5+I64*3)*('WEEKLY INPUT'!P64/90)+(P64*0.15)*('WEEKLY INPUT'!P64/90)+Q64*0.25)</f>
        <v/>
      </c>
      <c r="U64" s="5">
        <f>IF($A64="","",$T64*(1+($3-'WEEKLY INPUT'!R64)*0.10)*$R64*$S64*1.0)</f>
        <v/>
      </c>
      <c r="V64" s="5">
        <f>IF($A64="","",$T64*(1+($3-'WEEKLY INPUT'!S64)*0.10)*$R64*$S64*0.975)</f>
        <v/>
      </c>
      <c r="W64" s="5">
        <f>IF($A64="","",$T64*(1+($3-'WEEKLY INPUT'!T64)*0.10)*$R64*$S64*0.95)</f>
        <v/>
      </c>
      <c r="X64" s="5">
        <f>IF($A64="","",$T64*(1+($3-'WEEKLY INPUT'!U64)*0.10)*$R64*$S64*0.925)</f>
        <v/>
      </c>
      <c r="Y64" s="5">
        <f>IF($A64="","",$T64*(1+($3-'WEEKLY INPUT'!V64)*0.10)*$R64*$S64*0.9)</f>
        <v/>
      </c>
      <c r="Z64" s="5">
        <f>IF($A64="","",$T64*(1+($3-'WEEKLY INPUT'!W64)*0.10)*$R64*$S64*0.875)</f>
        <v/>
      </c>
      <c r="AA64" s="5">
        <f>IF($A64="","",$T64*(1+($3-'WEEKLY INPUT'!X64)*0.10)*$R64*$S64*0.85)</f>
        <v/>
      </c>
      <c r="AB64" s="5">
        <f>IF($A64="","",$T64*(1+($3-'WEEKLY INPUT'!Y64)*0.10)*$R64*$S64*0.825)</f>
        <v/>
      </c>
      <c r="AC64" s="5">
        <f>SUM(U64:AB64)</f>
        <v/>
      </c>
      <c r="AD64" s="5">
        <f>SUM(U64:Z64)</f>
        <v/>
      </c>
      <c r="AE64" s="5">
        <f>IFERROR(AD64/D64,0)</f>
        <v/>
      </c>
      <c r="AF64" s="5">
        <f>MAX(0,1-R64)</f>
        <v/>
      </c>
      <c r="AG64" s="5">
        <f>IFERROR((H64+I64)*R64*(1+0.10*(3-'WEEKLY INPUT'!R64)),"")</f>
        <v/>
      </c>
      <c r="AH64" s="5">
        <f>IFERROR(AG64/SUMPRODUCT($AG$6:$AG$205),"")</f>
        <v/>
      </c>
      <c r="AI64" s="5">
        <f>IFERROR(AD64*(1-AF64*0.5)*(1+0.15*AE64),0)</f>
        <v/>
      </c>
      <c r="AJ64" s="5">
        <f>IF(A64="","",RANK(AI64,$AI$6:$AI$205,0))</f>
        <v/>
      </c>
      <c r="AK64" s="5">
        <f>IFERROR('WEEKLY INPUT'!Z64,"")</f>
        <v/>
      </c>
    </row>
    <row r="65">
      <c r="A65" s="5">
        <f>IFERROR('WEEKLY INPUT'!A65,"")</f>
        <v/>
      </c>
      <c r="B65" s="5">
        <f>IFERROR('WEEKLY INPUT'!B65,"")</f>
        <v/>
      </c>
      <c r="C65" s="5">
        <f>IFERROR('WEEKLY INPUT'!C65,"")</f>
        <v/>
      </c>
      <c r="D65" s="5">
        <f>IFERROR('WEEKLY INPUT'!D65,0)</f>
        <v/>
      </c>
      <c r="E65" s="5">
        <f>IFERROR('WEEKLY INPUT'!E65,0)</f>
        <v/>
      </c>
      <c r="F65" s="5">
        <f>IFERROR('WEEKLY INPUT'!F65,0)</f>
        <v/>
      </c>
      <c r="G65" s="5">
        <f>IFERROR('WEEKLY INPUT'!Q65,0)</f>
        <v/>
      </c>
      <c r="H65" s="5">
        <f>IFERROR('WEEKLY INPUT'!H65/'WEEKLY INPUT'!F65*90,0)</f>
        <v/>
      </c>
      <c r="I65" s="5">
        <f>IFERROR('WEEKLY INPUT'!I65/'WEEKLY INPUT'!F65*90,0)</f>
        <v/>
      </c>
      <c r="J65" s="5">
        <f>H65+I65</f>
        <v/>
      </c>
      <c r="K65" s="5">
        <f>IFERROR('WEEKLY INPUT'!J65/'WEEKLY INPUT'!F65*90,0)</f>
        <v/>
      </c>
      <c r="L65" s="5">
        <f>IFERROR('WEEKLY INPUT'!K65/'WEEKLY INPUT'!F65*90,0)</f>
        <v/>
      </c>
      <c r="M65" s="5">
        <f>IFERROR('WEEKLY INPUT'!L65/'WEEKLY INPUT'!F65*90,0)</f>
        <v/>
      </c>
      <c r="N65" s="5">
        <f>IFERROR('WEEKLY INPUT'!M65/'WEEKLY INPUT'!F65*90,0)</f>
        <v/>
      </c>
      <c r="O65" s="5">
        <f>IFERROR('WEEKLY INPUT'!N65/'WEEKLY INPUT'!F65*90,0)</f>
        <v/>
      </c>
      <c r="P65" s="5">
        <f>IFERROR('WEEKLY INPUT'!O65/'WEEKLY INPUT'!F65*90,0)</f>
        <v/>
      </c>
      <c r="Q65" s="5">
        <f>IFERROR(('WEEKLY INPUT'!J65*2+'WEEKLY INPUT'!K65*1+'WEEKLY INPUT'!O65*0.2)/'WEEKLY INPUT'!F65,0)</f>
        <v/>
      </c>
      <c r="R65" s="5">
        <f>MAX(0.25,MIN(1.15,(F65/540)*0.5+G65*0.5))</f>
        <v/>
      </c>
      <c r="S65" s="5">
        <f>MAX(0.70,MIN(1.10,0.85+0.15*G65))</f>
        <v/>
      </c>
      <c r="T65" s="5">
        <f>IF(A65="","",2*('WEEKLY INPUT'!P65/90)+(H65*5+I65*3)*('WEEKLY INPUT'!P65/90)+(P65*0.15)*('WEEKLY INPUT'!P65/90)+Q65*0.25)</f>
        <v/>
      </c>
      <c r="U65" s="5">
        <f>IF($A65="","",$T65*(1+($3-'WEEKLY INPUT'!R65)*0.10)*$R65*$S65*1.0)</f>
        <v/>
      </c>
      <c r="V65" s="5">
        <f>IF($A65="","",$T65*(1+($3-'WEEKLY INPUT'!S65)*0.10)*$R65*$S65*0.975)</f>
        <v/>
      </c>
      <c r="W65" s="5">
        <f>IF($A65="","",$T65*(1+($3-'WEEKLY INPUT'!T65)*0.10)*$R65*$S65*0.95)</f>
        <v/>
      </c>
      <c r="X65" s="5">
        <f>IF($A65="","",$T65*(1+($3-'WEEKLY INPUT'!U65)*0.10)*$R65*$S65*0.925)</f>
        <v/>
      </c>
      <c r="Y65" s="5">
        <f>IF($A65="","",$T65*(1+($3-'WEEKLY INPUT'!V65)*0.10)*$R65*$S65*0.9)</f>
        <v/>
      </c>
      <c r="Z65" s="5">
        <f>IF($A65="","",$T65*(1+($3-'WEEKLY INPUT'!W65)*0.10)*$R65*$S65*0.875)</f>
        <v/>
      </c>
      <c r="AA65" s="5">
        <f>IF($A65="","",$T65*(1+($3-'WEEKLY INPUT'!X65)*0.10)*$R65*$S65*0.85)</f>
        <v/>
      </c>
      <c r="AB65" s="5">
        <f>IF($A65="","",$T65*(1+($3-'WEEKLY INPUT'!Y65)*0.10)*$R65*$S65*0.825)</f>
        <v/>
      </c>
      <c r="AC65" s="5">
        <f>SUM(U65:AB65)</f>
        <v/>
      </c>
      <c r="AD65" s="5">
        <f>SUM(U65:Z65)</f>
        <v/>
      </c>
      <c r="AE65" s="5">
        <f>IFERROR(AD65/D65,0)</f>
        <v/>
      </c>
      <c r="AF65" s="5">
        <f>MAX(0,1-R65)</f>
        <v/>
      </c>
      <c r="AG65" s="5">
        <f>IFERROR((H65+I65)*R65*(1+0.10*(3-'WEEKLY INPUT'!R65)),"")</f>
        <v/>
      </c>
      <c r="AH65" s="5">
        <f>IFERROR(AG65/SUMPRODUCT($AG$6:$AG$205),"")</f>
        <v/>
      </c>
      <c r="AI65" s="5">
        <f>IFERROR(AD65*(1-AF65*0.5)*(1+0.15*AE65),0)</f>
        <v/>
      </c>
      <c r="AJ65" s="5">
        <f>IF(A65="","",RANK(AI65,$AI$6:$AI$205,0))</f>
        <v/>
      </c>
      <c r="AK65" s="5">
        <f>IFERROR('WEEKLY INPUT'!Z65,"")</f>
        <v/>
      </c>
    </row>
    <row r="66">
      <c r="A66" s="5">
        <f>IFERROR('WEEKLY INPUT'!A66,"")</f>
        <v/>
      </c>
      <c r="B66" s="5">
        <f>IFERROR('WEEKLY INPUT'!B66,"")</f>
        <v/>
      </c>
      <c r="C66" s="5">
        <f>IFERROR('WEEKLY INPUT'!C66,"")</f>
        <v/>
      </c>
      <c r="D66" s="5">
        <f>IFERROR('WEEKLY INPUT'!D66,0)</f>
        <v/>
      </c>
      <c r="E66" s="5">
        <f>IFERROR('WEEKLY INPUT'!E66,0)</f>
        <v/>
      </c>
      <c r="F66" s="5">
        <f>IFERROR('WEEKLY INPUT'!F66,0)</f>
        <v/>
      </c>
      <c r="G66" s="5">
        <f>IFERROR('WEEKLY INPUT'!Q66,0)</f>
        <v/>
      </c>
      <c r="H66" s="5">
        <f>IFERROR('WEEKLY INPUT'!H66/'WEEKLY INPUT'!F66*90,0)</f>
        <v/>
      </c>
      <c r="I66" s="5">
        <f>IFERROR('WEEKLY INPUT'!I66/'WEEKLY INPUT'!F66*90,0)</f>
        <v/>
      </c>
      <c r="J66" s="5">
        <f>H66+I66</f>
        <v/>
      </c>
      <c r="K66" s="5">
        <f>IFERROR('WEEKLY INPUT'!J66/'WEEKLY INPUT'!F66*90,0)</f>
        <v/>
      </c>
      <c r="L66" s="5">
        <f>IFERROR('WEEKLY INPUT'!K66/'WEEKLY INPUT'!F66*90,0)</f>
        <v/>
      </c>
      <c r="M66" s="5">
        <f>IFERROR('WEEKLY INPUT'!L66/'WEEKLY INPUT'!F66*90,0)</f>
        <v/>
      </c>
      <c r="N66" s="5">
        <f>IFERROR('WEEKLY INPUT'!M66/'WEEKLY INPUT'!F66*90,0)</f>
        <v/>
      </c>
      <c r="O66" s="5">
        <f>IFERROR('WEEKLY INPUT'!N66/'WEEKLY INPUT'!F66*90,0)</f>
        <v/>
      </c>
      <c r="P66" s="5">
        <f>IFERROR('WEEKLY INPUT'!O66/'WEEKLY INPUT'!F66*90,0)</f>
        <v/>
      </c>
      <c r="Q66" s="5">
        <f>IFERROR(('WEEKLY INPUT'!J66*2+'WEEKLY INPUT'!K66*1+'WEEKLY INPUT'!O66*0.2)/'WEEKLY INPUT'!F66,0)</f>
        <v/>
      </c>
      <c r="R66" s="5">
        <f>MAX(0.25,MIN(1.15,(F66/540)*0.5+G66*0.5))</f>
        <v/>
      </c>
      <c r="S66" s="5">
        <f>MAX(0.70,MIN(1.10,0.85+0.15*G66))</f>
        <v/>
      </c>
      <c r="T66" s="5">
        <f>IF(A66="","",2*('WEEKLY INPUT'!P66/90)+(H66*5+I66*3)*('WEEKLY INPUT'!P66/90)+(P66*0.15)*('WEEKLY INPUT'!P66/90)+Q66*0.25)</f>
        <v/>
      </c>
      <c r="U66" s="5">
        <f>IF($A66="","",$T66*(1+($3-'WEEKLY INPUT'!R66)*0.10)*$R66*$S66*1.0)</f>
        <v/>
      </c>
      <c r="V66" s="5">
        <f>IF($A66="","",$T66*(1+($3-'WEEKLY INPUT'!S66)*0.10)*$R66*$S66*0.975)</f>
        <v/>
      </c>
      <c r="W66" s="5">
        <f>IF($A66="","",$T66*(1+($3-'WEEKLY INPUT'!T66)*0.10)*$R66*$S66*0.95)</f>
        <v/>
      </c>
      <c r="X66" s="5">
        <f>IF($A66="","",$T66*(1+($3-'WEEKLY INPUT'!U66)*0.10)*$R66*$S66*0.925)</f>
        <v/>
      </c>
      <c r="Y66" s="5">
        <f>IF($A66="","",$T66*(1+($3-'WEEKLY INPUT'!V66)*0.10)*$R66*$S66*0.9)</f>
        <v/>
      </c>
      <c r="Z66" s="5">
        <f>IF($A66="","",$T66*(1+($3-'WEEKLY INPUT'!W66)*0.10)*$R66*$S66*0.875)</f>
        <v/>
      </c>
      <c r="AA66" s="5">
        <f>IF($A66="","",$T66*(1+($3-'WEEKLY INPUT'!X66)*0.10)*$R66*$S66*0.85)</f>
        <v/>
      </c>
      <c r="AB66" s="5">
        <f>IF($A66="","",$T66*(1+($3-'WEEKLY INPUT'!Y66)*0.10)*$R66*$S66*0.825)</f>
        <v/>
      </c>
      <c r="AC66" s="5">
        <f>SUM(U66:AB66)</f>
        <v/>
      </c>
      <c r="AD66" s="5">
        <f>SUM(U66:Z66)</f>
        <v/>
      </c>
      <c r="AE66" s="5">
        <f>IFERROR(AD66/D66,0)</f>
        <v/>
      </c>
      <c r="AF66" s="5">
        <f>MAX(0,1-R66)</f>
        <v/>
      </c>
      <c r="AG66" s="5">
        <f>IFERROR((H66+I66)*R66*(1+0.10*(3-'WEEKLY INPUT'!R66)),"")</f>
        <v/>
      </c>
      <c r="AH66" s="5">
        <f>IFERROR(AG66/SUMPRODUCT($AG$6:$AG$205),"")</f>
        <v/>
      </c>
      <c r="AI66" s="5">
        <f>IFERROR(AD66*(1-AF66*0.5)*(1+0.15*AE66),0)</f>
        <v/>
      </c>
      <c r="AJ66" s="5">
        <f>IF(A66="","",RANK(AI66,$AI$6:$AI$205,0))</f>
        <v/>
      </c>
      <c r="AK66" s="5">
        <f>IFERROR('WEEKLY INPUT'!Z66,"")</f>
        <v/>
      </c>
    </row>
    <row r="67">
      <c r="A67" s="5">
        <f>IFERROR('WEEKLY INPUT'!A67,"")</f>
        <v/>
      </c>
      <c r="B67" s="5">
        <f>IFERROR('WEEKLY INPUT'!B67,"")</f>
        <v/>
      </c>
      <c r="C67" s="5">
        <f>IFERROR('WEEKLY INPUT'!C67,"")</f>
        <v/>
      </c>
      <c r="D67" s="5">
        <f>IFERROR('WEEKLY INPUT'!D67,0)</f>
        <v/>
      </c>
      <c r="E67" s="5">
        <f>IFERROR('WEEKLY INPUT'!E67,0)</f>
        <v/>
      </c>
      <c r="F67" s="5">
        <f>IFERROR('WEEKLY INPUT'!F67,0)</f>
        <v/>
      </c>
      <c r="G67" s="5">
        <f>IFERROR('WEEKLY INPUT'!Q67,0)</f>
        <v/>
      </c>
      <c r="H67" s="5">
        <f>IFERROR('WEEKLY INPUT'!H67/'WEEKLY INPUT'!F67*90,0)</f>
        <v/>
      </c>
      <c r="I67" s="5">
        <f>IFERROR('WEEKLY INPUT'!I67/'WEEKLY INPUT'!F67*90,0)</f>
        <v/>
      </c>
      <c r="J67" s="5">
        <f>H67+I67</f>
        <v/>
      </c>
      <c r="K67" s="5">
        <f>IFERROR('WEEKLY INPUT'!J67/'WEEKLY INPUT'!F67*90,0)</f>
        <v/>
      </c>
      <c r="L67" s="5">
        <f>IFERROR('WEEKLY INPUT'!K67/'WEEKLY INPUT'!F67*90,0)</f>
        <v/>
      </c>
      <c r="M67" s="5">
        <f>IFERROR('WEEKLY INPUT'!L67/'WEEKLY INPUT'!F67*90,0)</f>
        <v/>
      </c>
      <c r="N67" s="5">
        <f>IFERROR('WEEKLY INPUT'!M67/'WEEKLY INPUT'!F67*90,0)</f>
        <v/>
      </c>
      <c r="O67" s="5">
        <f>IFERROR('WEEKLY INPUT'!N67/'WEEKLY INPUT'!F67*90,0)</f>
        <v/>
      </c>
      <c r="P67" s="5">
        <f>IFERROR('WEEKLY INPUT'!O67/'WEEKLY INPUT'!F67*90,0)</f>
        <v/>
      </c>
      <c r="Q67" s="5">
        <f>IFERROR(('WEEKLY INPUT'!J67*2+'WEEKLY INPUT'!K67*1+'WEEKLY INPUT'!O67*0.2)/'WEEKLY INPUT'!F67,0)</f>
        <v/>
      </c>
      <c r="R67" s="5">
        <f>MAX(0.25,MIN(1.15,(F67/540)*0.5+G67*0.5))</f>
        <v/>
      </c>
      <c r="S67" s="5">
        <f>MAX(0.70,MIN(1.10,0.85+0.15*G67))</f>
        <v/>
      </c>
      <c r="T67" s="5">
        <f>IF(A67="","",2*('WEEKLY INPUT'!P67/90)+(H67*5+I67*3)*('WEEKLY INPUT'!P67/90)+(P67*0.15)*('WEEKLY INPUT'!P67/90)+Q67*0.25)</f>
        <v/>
      </c>
      <c r="U67" s="5">
        <f>IF($A67="","",$T67*(1+($3-'WEEKLY INPUT'!R67)*0.10)*$R67*$S67*1.0)</f>
        <v/>
      </c>
      <c r="V67" s="5">
        <f>IF($A67="","",$T67*(1+($3-'WEEKLY INPUT'!S67)*0.10)*$R67*$S67*0.975)</f>
        <v/>
      </c>
      <c r="W67" s="5">
        <f>IF($A67="","",$T67*(1+($3-'WEEKLY INPUT'!T67)*0.10)*$R67*$S67*0.95)</f>
        <v/>
      </c>
      <c r="X67" s="5">
        <f>IF($A67="","",$T67*(1+($3-'WEEKLY INPUT'!U67)*0.10)*$R67*$S67*0.925)</f>
        <v/>
      </c>
      <c r="Y67" s="5">
        <f>IF($A67="","",$T67*(1+($3-'WEEKLY INPUT'!V67)*0.10)*$R67*$S67*0.9)</f>
        <v/>
      </c>
      <c r="Z67" s="5">
        <f>IF($A67="","",$T67*(1+($3-'WEEKLY INPUT'!W67)*0.10)*$R67*$S67*0.875)</f>
        <v/>
      </c>
      <c r="AA67" s="5">
        <f>IF($A67="","",$T67*(1+($3-'WEEKLY INPUT'!X67)*0.10)*$R67*$S67*0.85)</f>
        <v/>
      </c>
      <c r="AB67" s="5">
        <f>IF($A67="","",$T67*(1+($3-'WEEKLY INPUT'!Y67)*0.10)*$R67*$S67*0.825)</f>
        <v/>
      </c>
      <c r="AC67" s="5">
        <f>SUM(U67:AB67)</f>
        <v/>
      </c>
      <c r="AD67" s="5">
        <f>SUM(U67:Z67)</f>
        <v/>
      </c>
      <c r="AE67" s="5">
        <f>IFERROR(AD67/D67,0)</f>
        <v/>
      </c>
      <c r="AF67" s="5">
        <f>MAX(0,1-R67)</f>
        <v/>
      </c>
      <c r="AG67" s="5">
        <f>IFERROR((H67+I67)*R67*(1+0.10*(3-'WEEKLY INPUT'!R67)),"")</f>
        <v/>
      </c>
      <c r="AH67" s="5">
        <f>IFERROR(AG67/SUMPRODUCT($AG$6:$AG$205),"")</f>
        <v/>
      </c>
      <c r="AI67" s="5">
        <f>IFERROR(AD67*(1-AF67*0.5)*(1+0.15*AE67),0)</f>
        <v/>
      </c>
      <c r="AJ67" s="5">
        <f>IF(A67="","",RANK(AI67,$AI$6:$AI$205,0))</f>
        <v/>
      </c>
      <c r="AK67" s="5">
        <f>IFERROR('WEEKLY INPUT'!Z67,"")</f>
        <v/>
      </c>
    </row>
    <row r="68">
      <c r="A68" s="5">
        <f>IFERROR('WEEKLY INPUT'!A68,"")</f>
        <v/>
      </c>
      <c r="B68" s="5">
        <f>IFERROR('WEEKLY INPUT'!B68,"")</f>
        <v/>
      </c>
      <c r="C68" s="5">
        <f>IFERROR('WEEKLY INPUT'!C68,"")</f>
        <v/>
      </c>
      <c r="D68" s="5">
        <f>IFERROR('WEEKLY INPUT'!D68,0)</f>
        <v/>
      </c>
      <c r="E68" s="5">
        <f>IFERROR('WEEKLY INPUT'!E68,0)</f>
        <v/>
      </c>
      <c r="F68" s="5">
        <f>IFERROR('WEEKLY INPUT'!F68,0)</f>
        <v/>
      </c>
      <c r="G68" s="5">
        <f>IFERROR('WEEKLY INPUT'!Q68,0)</f>
        <v/>
      </c>
      <c r="H68" s="5">
        <f>IFERROR('WEEKLY INPUT'!H68/'WEEKLY INPUT'!F68*90,0)</f>
        <v/>
      </c>
      <c r="I68" s="5">
        <f>IFERROR('WEEKLY INPUT'!I68/'WEEKLY INPUT'!F68*90,0)</f>
        <v/>
      </c>
      <c r="J68" s="5">
        <f>H68+I68</f>
        <v/>
      </c>
      <c r="K68" s="5">
        <f>IFERROR('WEEKLY INPUT'!J68/'WEEKLY INPUT'!F68*90,0)</f>
        <v/>
      </c>
      <c r="L68" s="5">
        <f>IFERROR('WEEKLY INPUT'!K68/'WEEKLY INPUT'!F68*90,0)</f>
        <v/>
      </c>
      <c r="M68" s="5">
        <f>IFERROR('WEEKLY INPUT'!L68/'WEEKLY INPUT'!F68*90,0)</f>
        <v/>
      </c>
      <c r="N68" s="5">
        <f>IFERROR('WEEKLY INPUT'!M68/'WEEKLY INPUT'!F68*90,0)</f>
        <v/>
      </c>
      <c r="O68" s="5">
        <f>IFERROR('WEEKLY INPUT'!N68/'WEEKLY INPUT'!F68*90,0)</f>
        <v/>
      </c>
      <c r="P68" s="5">
        <f>IFERROR('WEEKLY INPUT'!O68/'WEEKLY INPUT'!F68*90,0)</f>
        <v/>
      </c>
      <c r="Q68" s="5">
        <f>IFERROR(('WEEKLY INPUT'!J68*2+'WEEKLY INPUT'!K68*1+'WEEKLY INPUT'!O68*0.2)/'WEEKLY INPUT'!F68,0)</f>
        <v/>
      </c>
      <c r="R68" s="5">
        <f>MAX(0.25,MIN(1.15,(F68/540)*0.5+G68*0.5))</f>
        <v/>
      </c>
      <c r="S68" s="5">
        <f>MAX(0.70,MIN(1.10,0.85+0.15*G68))</f>
        <v/>
      </c>
      <c r="T68" s="5">
        <f>IF(A68="","",2*('WEEKLY INPUT'!P68/90)+(H68*5+I68*3)*('WEEKLY INPUT'!P68/90)+(P68*0.15)*('WEEKLY INPUT'!P68/90)+Q68*0.25)</f>
        <v/>
      </c>
      <c r="U68" s="5">
        <f>IF($A68="","",$T68*(1+($3-'WEEKLY INPUT'!R68)*0.10)*$R68*$S68*1.0)</f>
        <v/>
      </c>
      <c r="V68" s="5">
        <f>IF($A68="","",$T68*(1+($3-'WEEKLY INPUT'!S68)*0.10)*$R68*$S68*0.975)</f>
        <v/>
      </c>
      <c r="W68" s="5">
        <f>IF($A68="","",$T68*(1+($3-'WEEKLY INPUT'!T68)*0.10)*$R68*$S68*0.95)</f>
        <v/>
      </c>
      <c r="X68" s="5">
        <f>IF($A68="","",$T68*(1+($3-'WEEKLY INPUT'!U68)*0.10)*$R68*$S68*0.925)</f>
        <v/>
      </c>
      <c r="Y68" s="5">
        <f>IF($A68="","",$T68*(1+($3-'WEEKLY INPUT'!V68)*0.10)*$R68*$S68*0.9)</f>
        <v/>
      </c>
      <c r="Z68" s="5">
        <f>IF($A68="","",$T68*(1+($3-'WEEKLY INPUT'!W68)*0.10)*$R68*$S68*0.875)</f>
        <v/>
      </c>
      <c r="AA68" s="5">
        <f>IF($A68="","",$T68*(1+($3-'WEEKLY INPUT'!X68)*0.10)*$R68*$S68*0.85)</f>
        <v/>
      </c>
      <c r="AB68" s="5">
        <f>IF($A68="","",$T68*(1+($3-'WEEKLY INPUT'!Y68)*0.10)*$R68*$S68*0.825)</f>
        <v/>
      </c>
      <c r="AC68" s="5">
        <f>SUM(U68:AB68)</f>
        <v/>
      </c>
      <c r="AD68" s="5">
        <f>SUM(U68:Z68)</f>
        <v/>
      </c>
      <c r="AE68" s="5">
        <f>IFERROR(AD68/D68,0)</f>
        <v/>
      </c>
      <c r="AF68" s="5">
        <f>MAX(0,1-R68)</f>
        <v/>
      </c>
      <c r="AG68" s="5">
        <f>IFERROR((H68+I68)*R68*(1+0.10*(3-'WEEKLY INPUT'!R68)),"")</f>
        <v/>
      </c>
      <c r="AH68" s="5">
        <f>IFERROR(AG68/SUMPRODUCT($AG$6:$AG$205),"")</f>
        <v/>
      </c>
      <c r="AI68" s="5">
        <f>IFERROR(AD68*(1-AF68*0.5)*(1+0.15*AE68),0)</f>
        <v/>
      </c>
      <c r="AJ68" s="5">
        <f>IF(A68="","",RANK(AI68,$AI$6:$AI$205,0))</f>
        <v/>
      </c>
      <c r="AK68" s="5">
        <f>IFERROR('WEEKLY INPUT'!Z68,"")</f>
        <v/>
      </c>
    </row>
    <row r="69">
      <c r="A69" s="5">
        <f>IFERROR('WEEKLY INPUT'!A69,"")</f>
        <v/>
      </c>
      <c r="B69" s="5">
        <f>IFERROR('WEEKLY INPUT'!B69,"")</f>
        <v/>
      </c>
      <c r="C69" s="5">
        <f>IFERROR('WEEKLY INPUT'!C69,"")</f>
        <v/>
      </c>
      <c r="D69" s="5">
        <f>IFERROR('WEEKLY INPUT'!D69,0)</f>
        <v/>
      </c>
      <c r="E69" s="5">
        <f>IFERROR('WEEKLY INPUT'!E69,0)</f>
        <v/>
      </c>
      <c r="F69" s="5">
        <f>IFERROR('WEEKLY INPUT'!F69,0)</f>
        <v/>
      </c>
      <c r="G69" s="5">
        <f>IFERROR('WEEKLY INPUT'!Q69,0)</f>
        <v/>
      </c>
      <c r="H69" s="5">
        <f>IFERROR('WEEKLY INPUT'!H69/'WEEKLY INPUT'!F69*90,0)</f>
        <v/>
      </c>
      <c r="I69" s="5">
        <f>IFERROR('WEEKLY INPUT'!I69/'WEEKLY INPUT'!F69*90,0)</f>
        <v/>
      </c>
      <c r="J69" s="5">
        <f>H69+I69</f>
        <v/>
      </c>
      <c r="K69" s="5">
        <f>IFERROR('WEEKLY INPUT'!J69/'WEEKLY INPUT'!F69*90,0)</f>
        <v/>
      </c>
      <c r="L69" s="5">
        <f>IFERROR('WEEKLY INPUT'!K69/'WEEKLY INPUT'!F69*90,0)</f>
        <v/>
      </c>
      <c r="M69" s="5">
        <f>IFERROR('WEEKLY INPUT'!L69/'WEEKLY INPUT'!F69*90,0)</f>
        <v/>
      </c>
      <c r="N69" s="5">
        <f>IFERROR('WEEKLY INPUT'!M69/'WEEKLY INPUT'!F69*90,0)</f>
        <v/>
      </c>
      <c r="O69" s="5">
        <f>IFERROR('WEEKLY INPUT'!N69/'WEEKLY INPUT'!F69*90,0)</f>
        <v/>
      </c>
      <c r="P69" s="5">
        <f>IFERROR('WEEKLY INPUT'!O69/'WEEKLY INPUT'!F69*90,0)</f>
        <v/>
      </c>
      <c r="Q69" s="5">
        <f>IFERROR(('WEEKLY INPUT'!J69*2+'WEEKLY INPUT'!K69*1+'WEEKLY INPUT'!O69*0.2)/'WEEKLY INPUT'!F69,0)</f>
        <v/>
      </c>
      <c r="R69" s="5">
        <f>MAX(0.25,MIN(1.15,(F69/540)*0.5+G69*0.5))</f>
        <v/>
      </c>
      <c r="S69" s="5">
        <f>MAX(0.70,MIN(1.10,0.85+0.15*G69))</f>
        <v/>
      </c>
      <c r="T69" s="5">
        <f>IF(A69="","",2*('WEEKLY INPUT'!P69/90)+(H69*5+I69*3)*('WEEKLY INPUT'!P69/90)+(P69*0.15)*('WEEKLY INPUT'!P69/90)+Q69*0.25)</f>
        <v/>
      </c>
      <c r="U69" s="5">
        <f>IF($A69="","",$T69*(1+($3-'WEEKLY INPUT'!R69)*0.10)*$R69*$S69*1.0)</f>
        <v/>
      </c>
      <c r="V69" s="5">
        <f>IF($A69="","",$T69*(1+($3-'WEEKLY INPUT'!S69)*0.10)*$R69*$S69*0.975)</f>
        <v/>
      </c>
      <c r="W69" s="5">
        <f>IF($A69="","",$T69*(1+($3-'WEEKLY INPUT'!T69)*0.10)*$R69*$S69*0.95)</f>
        <v/>
      </c>
      <c r="X69" s="5">
        <f>IF($A69="","",$T69*(1+($3-'WEEKLY INPUT'!U69)*0.10)*$R69*$S69*0.925)</f>
        <v/>
      </c>
      <c r="Y69" s="5">
        <f>IF($A69="","",$T69*(1+($3-'WEEKLY INPUT'!V69)*0.10)*$R69*$S69*0.9)</f>
        <v/>
      </c>
      <c r="Z69" s="5">
        <f>IF($A69="","",$T69*(1+($3-'WEEKLY INPUT'!W69)*0.10)*$R69*$S69*0.875)</f>
        <v/>
      </c>
      <c r="AA69" s="5">
        <f>IF($A69="","",$T69*(1+($3-'WEEKLY INPUT'!X69)*0.10)*$R69*$S69*0.85)</f>
        <v/>
      </c>
      <c r="AB69" s="5">
        <f>IF($A69="","",$T69*(1+($3-'WEEKLY INPUT'!Y69)*0.10)*$R69*$S69*0.825)</f>
        <v/>
      </c>
      <c r="AC69" s="5">
        <f>SUM(U69:AB69)</f>
        <v/>
      </c>
      <c r="AD69" s="5">
        <f>SUM(U69:Z69)</f>
        <v/>
      </c>
      <c r="AE69" s="5">
        <f>IFERROR(AD69/D69,0)</f>
        <v/>
      </c>
      <c r="AF69" s="5">
        <f>MAX(0,1-R69)</f>
        <v/>
      </c>
      <c r="AG69" s="5">
        <f>IFERROR((H69+I69)*R69*(1+0.10*(3-'WEEKLY INPUT'!R69)),"")</f>
        <v/>
      </c>
      <c r="AH69" s="5">
        <f>IFERROR(AG69/SUMPRODUCT($AG$6:$AG$205),"")</f>
        <v/>
      </c>
      <c r="AI69" s="5">
        <f>IFERROR(AD69*(1-AF69*0.5)*(1+0.15*AE69),0)</f>
        <v/>
      </c>
      <c r="AJ69" s="5">
        <f>IF(A69="","",RANK(AI69,$AI$6:$AI$205,0))</f>
        <v/>
      </c>
      <c r="AK69" s="5">
        <f>IFERROR('WEEKLY INPUT'!Z69,"")</f>
        <v/>
      </c>
    </row>
    <row r="70">
      <c r="A70" s="5">
        <f>IFERROR('WEEKLY INPUT'!A70,"")</f>
        <v/>
      </c>
      <c r="B70" s="5">
        <f>IFERROR('WEEKLY INPUT'!B70,"")</f>
        <v/>
      </c>
      <c r="C70" s="5">
        <f>IFERROR('WEEKLY INPUT'!C70,"")</f>
        <v/>
      </c>
      <c r="D70" s="5">
        <f>IFERROR('WEEKLY INPUT'!D70,0)</f>
        <v/>
      </c>
      <c r="E70" s="5">
        <f>IFERROR('WEEKLY INPUT'!E70,0)</f>
        <v/>
      </c>
      <c r="F70" s="5">
        <f>IFERROR('WEEKLY INPUT'!F70,0)</f>
        <v/>
      </c>
      <c r="G70" s="5">
        <f>IFERROR('WEEKLY INPUT'!Q70,0)</f>
        <v/>
      </c>
      <c r="H70" s="5">
        <f>IFERROR('WEEKLY INPUT'!H70/'WEEKLY INPUT'!F70*90,0)</f>
        <v/>
      </c>
      <c r="I70" s="5">
        <f>IFERROR('WEEKLY INPUT'!I70/'WEEKLY INPUT'!F70*90,0)</f>
        <v/>
      </c>
      <c r="J70" s="5">
        <f>H70+I70</f>
        <v/>
      </c>
      <c r="K70" s="5">
        <f>IFERROR('WEEKLY INPUT'!J70/'WEEKLY INPUT'!F70*90,0)</f>
        <v/>
      </c>
      <c r="L70" s="5">
        <f>IFERROR('WEEKLY INPUT'!K70/'WEEKLY INPUT'!F70*90,0)</f>
        <v/>
      </c>
      <c r="M70" s="5">
        <f>IFERROR('WEEKLY INPUT'!L70/'WEEKLY INPUT'!F70*90,0)</f>
        <v/>
      </c>
      <c r="N70" s="5">
        <f>IFERROR('WEEKLY INPUT'!M70/'WEEKLY INPUT'!F70*90,0)</f>
        <v/>
      </c>
      <c r="O70" s="5">
        <f>IFERROR('WEEKLY INPUT'!N70/'WEEKLY INPUT'!F70*90,0)</f>
        <v/>
      </c>
      <c r="P70" s="5">
        <f>IFERROR('WEEKLY INPUT'!O70/'WEEKLY INPUT'!F70*90,0)</f>
        <v/>
      </c>
      <c r="Q70" s="5">
        <f>IFERROR(('WEEKLY INPUT'!J70*2+'WEEKLY INPUT'!K70*1+'WEEKLY INPUT'!O70*0.2)/'WEEKLY INPUT'!F70,0)</f>
        <v/>
      </c>
      <c r="R70" s="5">
        <f>MAX(0.25,MIN(1.15,(F70/540)*0.5+G70*0.5))</f>
        <v/>
      </c>
      <c r="S70" s="5">
        <f>MAX(0.70,MIN(1.10,0.85+0.15*G70))</f>
        <v/>
      </c>
      <c r="T70" s="5">
        <f>IF(A70="","",2*('WEEKLY INPUT'!P70/90)+(H70*5+I70*3)*('WEEKLY INPUT'!P70/90)+(P70*0.15)*('WEEKLY INPUT'!P70/90)+Q70*0.25)</f>
        <v/>
      </c>
      <c r="U70" s="5">
        <f>IF($A70="","",$T70*(1+($3-'WEEKLY INPUT'!R70)*0.10)*$R70*$S70*1.0)</f>
        <v/>
      </c>
      <c r="V70" s="5">
        <f>IF($A70="","",$T70*(1+($3-'WEEKLY INPUT'!S70)*0.10)*$R70*$S70*0.975)</f>
        <v/>
      </c>
      <c r="W70" s="5">
        <f>IF($A70="","",$T70*(1+($3-'WEEKLY INPUT'!T70)*0.10)*$R70*$S70*0.95)</f>
        <v/>
      </c>
      <c r="X70" s="5">
        <f>IF($A70="","",$T70*(1+($3-'WEEKLY INPUT'!U70)*0.10)*$R70*$S70*0.925)</f>
        <v/>
      </c>
      <c r="Y70" s="5">
        <f>IF($A70="","",$T70*(1+($3-'WEEKLY INPUT'!V70)*0.10)*$R70*$S70*0.9)</f>
        <v/>
      </c>
      <c r="Z70" s="5">
        <f>IF($A70="","",$T70*(1+($3-'WEEKLY INPUT'!W70)*0.10)*$R70*$S70*0.875)</f>
        <v/>
      </c>
      <c r="AA70" s="5">
        <f>IF($A70="","",$T70*(1+($3-'WEEKLY INPUT'!X70)*0.10)*$R70*$S70*0.85)</f>
        <v/>
      </c>
      <c r="AB70" s="5">
        <f>IF($A70="","",$T70*(1+($3-'WEEKLY INPUT'!Y70)*0.10)*$R70*$S70*0.825)</f>
        <v/>
      </c>
      <c r="AC70" s="5">
        <f>SUM(U70:AB70)</f>
        <v/>
      </c>
      <c r="AD70" s="5">
        <f>SUM(U70:Z70)</f>
        <v/>
      </c>
      <c r="AE70" s="5">
        <f>IFERROR(AD70/D70,0)</f>
        <v/>
      </c>
      <c r="AF70" s="5">
        <f>MAX(0,1-R70)</f>
        <v/>
      </c>
      <c r="AG70" s="5">
        <f>IFERROR((H70+I70)*R70*(1+0.10*(3-'WEEKLY INPUT'!R70)),"")</f>
        <v/>
      </c>
      <c r="AH70" s="5">
        <f>IFERROR(AG70/SUMPRODUCT($AG$6:$AG$205),"")</f>
        <v/>
      </c>
      <c r="AI70" s="5">
        <f>IFERROR(AD70*(1-AF70*0.5)*(1+0.15*AE70),0)</f>
        <v/>
      </c>
      <c r="AJ70" s="5">
        <f>IF(A70="","",RANK(AI70,$AI$6:$AI$205,0))</f>
        <v/>
      </c>
      <c r="AK70" s="5">
        <f>IFERROR('WEEKLY INPUT'!Z70,"")</f>
        <v/>
      </c>
    </row>
    <row r="71">
      <c r="A71" s="5">
        <f>IFERROR('WEEKLY INPUT'!A71,"")</f>
        <v/>
      </c>
      <c r="B71" s="5">
        <f>IFERROR('WEEKLY INPUT'!B71,"")</f>
        <v/>
      </c>
      <c r="C71" s="5">
        <f>IFERROR('WEEKLY INPUT'!C71,"")</f>
        <v/>
      </c>
      <c r="D71" s="5">
        <f>IFERROR('WEEKLY INPUT'!D71,0)</f>
        <v/>
      </c>
      <c r="E71" s="5">
        <f>IFERROR('WEEKLY INPUT'!E71,0)</f>
        <v/>
      </c>
      <c r="F71" s="5">
        <f>IFERROR('WEEKLY INPUT'!F71,0)</f>
        <v/>
      </c>
      <c r="G71" s="5">
        <f>IFERROR('WEEKLY INPUT'!Q71,0)</f>
        <v/>
      </c>
      <c r="H71" s="5">
        <f>IFERROR('WEEKLY INPUT'!H71/'WEEKLY INPUT'!F71*90,0)</f>
        <v/>
      </c>
      <c r="I71" s="5">
        <f>IFERROR('WEEKLY INPUT'!I71/'WEEKLY INPUT'!F71*90,0)</f>
        <v/>
      </c>
      <c r="J71" s="5">
        <f>H71+I71</f>
        <v/>
      </c>
      <c r="K71" s="5">
        <f>IFERROR('WEEKLY INPUT'!J71/'WEEKLY INPUT'!F71*90,0)</f>
        <v/>
      </c>
      <c r="L71" s="5">
        <f>IFERROR('WEEKLY INPUT'!K71/'WEEKLY INPUT'!F71*90,0)</f>
        <v/>
      </c>
      <c r="M71" s="5">
        <f>IFERROR('WEEKLY INPUT'!L71/'WEEKLY INPUT'!F71*90,0)</f>
        <v/>
      </c>
      <c r="N71" s="5">
        <f>IFERROR('WEEKLY INPUT'!M71/'WEEKLY INPUT'!F71*90,0)</f>
        <v/>
      </c>
      <c r="O71" s="5">
        <f>IFERROR('WEEKLY INPUT'!N71/'WEEKLY INPUT'!F71*90,0)</f>
        <v/>
      </c>
      <c r="P71" s="5">
        <f>IFERROR('WEEKLY INPUT'!O71/'WEEKLY INPUT'!F71*90,0)</f>
        <v/>
      </c>
      <c r="Q71" s="5">
        <f>IFERROR(('WEEKLY INPUT'!J71*2+'WEEKLY INPUT'!K71*1+'WEEKLY INPUT'!O71*0.2)/'WEEKLY INPUT'!F71,0)</f>
        <v/>
      </c>
      <c r="R71" s="5">
        <f>MAX(0.25,MIN(1.15,(F71/540)*0.5+G71*0.5))</f>
        <v/>
      </c>
      <c r="S71" s="5">
        <f>MAX(0.70,MIN(1.10,0.85+0.15*G71))</f>
        <v/>
      </c>
      <c r="T71" s="5">
        <f>IF(A71="","",2*('WEEKLY INPUT'!P71/90)+(H71*5+I71*3)*('WEEKLY INPUT'!P71/90)+(P71*0.15)*('WEEKLY INPUT'!P71/90)+Q71*0.25)</f>
        <v/>
      </c>
      <c r="U71" s="5">
        <f>IF($A71="","",$T71*(1+($3-'WEEKLY INPUT'!R71)*0.10)*$R71*$S71*1.0)</f>
        <v/>
      </c>
      <c r="V71" s="5">
        <f>IF($A71="","",$T71*(1+($3-'WEEKLY INPUT'!S71)*0.10)*$R71*$S71*0.975)</f>
        <v/>
      </c>
      <c r="W71" s="5">
        <f>IF($A71="","",$T71*(1+($3-'WEEKLY INPUT'!T71)*0.10)*$R71*$S71*0.95)</f>
        <v/>
      </c>
      <c r="X71" s="5">
        <f>IF($A71="","",$T71*(1+($3-'WEEKLY INPUT'!U71)*0.10)*$R71*$S71*0.925)</f>
        <v/>
      </c>
      <c r="Y71" s="5">
        <f>IF($A71="","",$T71*(1+($3-'WEEKLY INPUT'!V71)*0.10)*$R71*$S71*0.9)</f>
        <v/>
      </c>
      <c r="Z71" s="5">
        <f>IF($A71="","",$T71*(1+($3-'WEEKLY INPUT'!W71)*0.10)*$R71*$S71*0.875)</f>
        <v/>
      </c>
      <c r="AA71" s="5">
        <f>IF($A71="","",$T71*(1+($3-'WEEKLY INPUT'!X71)*0.10)*$R71*$S71*0.85)</f>
        <v/>
      </c>
      <c r="AB71" s="5">
        <f>IF($A71="","",$T71*(1+($3-'WEEKLY INPUT'!Y71)*0.10)*$R71*$S71*0.825)</f>
        <v/>
      </c>
      <c r="AC71" s="5">
        <f>SUM(U71:AB71)</f>
        <v/>
      </c>
      <c r="AD71" s="5">
        <f>SUM(U71:Z71)</f>
        <v/>
      </c>
      <c r="AE71" s="5">
        <f>IFERROR(AD71/D71,0)</f>
        <v/>
      </c>
      <c r="AF71" s="5">
        <f>MAX(0,1-R71)</f>
        <v/>
      </c>
      <c r="AG71" s="5">
        <f>IFERROR((H71+I71)*R71*(1+0.10*(3-'WEEKLY INPUT'!R71)),"")</f>
        <v/>
      </c>
      <c r="AH71" s="5">
        <f>IFERROR(AG71/SUMPRODUCT($AG$6:$AG$205),"")</f>
        <v/>
      </c>
      <c r="AI71" s="5">
        <f>IFERROR(AD71*(1-AF71*0.5)*(1+0.15*AE71),0)</f>
        <v/>
      </c>
      <c r="AJ71" s="5">
        <f>IF(A71="","",RANK(AI71,$AI$6:$AI$205,0))</f>
        <v/>
      </c>
      <c r="AK71" s="5">
        <f>IFERROR('WEEKLY INPUT'!Z71,"")</f>
        <v/>
      </c>
    </row>
    <row r="72">
      <c r="A72" s="5">
        <f>IFERROR('WEEKLY INPUT'!A72,"")</f>
        <v/>
      </c>
      <c r="B72" s="5">
        <f>IFERROR('WEEKLY INPUT'!B72,"")</f>
        <v/>
      </c>
      <c r="C72" s="5">
        <f>IFERROR('WEEKLY INPUT'!C72,"")</f>
        <v/>
      </c>
      <c r="D72" s="5">
        <f>IFERROR('WEEKLY INPUT'!D72,0)</f>
        <v/>
      </c>
      <c r="E72" s="5">
        <f>IFERROR('WEEKLY INPUT'!E72,0)</f>
        <v/>
      </c>
      <c r="F72" s="5">
        <f>IFERROR('WEEKLY INPUT'!F72,0)</f>
        <v/>
      </c>
      <c r="G72" s="5">
        <f>IFERROR('WEEKLY INPUT'!Q72,0)</f>
        <v/>
      </c>
      <c r="H72" s="5">
        <f>IFERROR('WEEKLY INPUT'!H72/'WEEKLY INPUT'!F72*90,0)</f>
        <v/>
      </c>
      <c r="I72" s="5">
        <f>IFERROR('WEEKLY INPUT'!I72/'WEEKLY INPUT'!F72*90,0)</f>
        <v/>
      </c>
      <c r="J72" s="5">
        <f>H72+I72</f>
        <v/>
      </c>
      <c r="K72" s="5">
        <f>IFERROR('WEEKLY INPUT'!J72/'WEEKLY INPUT'!F72*90,0)</f>
        <v/>
      </c>
      <c r="L72" s="5">
        <f>IFERROR('WEEKLY INPUT'!K72/'WEEKLY INPUT'!F72*90,0)</f>
        <v/>
      </c>
      <c r="M72" s="5">
        <f>IFERROR('WEEKLY INPUT'!L72/'WEEKLY INPUT'!F72*90,0)</f>
        <v/>
      </c>
      <c r="N72" s="5">
        <f>IFERROR('WEEKLY INPUT'!M72/'WEEKLY INPUT'!F72*90,0)</f>
        <v/>
      </c>
      <c r="O72" s="5">
        <f>IFERROR('WEEKLY INPUT'!N72/'WEEKLY INPUT'!F72*90,0)</f>
        <v/>
      </c>
      <c r="P72" s="5">
        <f>IFERROR('WEEKLY INPUT'!O72/'WEEKLY INPUT'!F72*90,0)</f>
        <v/>
      </c>
      <c r="Q72" s="5">
        <f>IFERROR(('WEEKLY INPUT'!J72*2+'WEEKLY INPUT'!K72*1+'WEEKLY INPUT'!O72*0.2)/'WEEKLY INPUT'!F72,0)</f>
        <v/>
      </c>
      <c r="R72" s="5">
        <f>MAX(0.25,MIN(1.15,(F72/540)*0.5+G72*0.5))</f>
        <v/>
      </c>
      <c r="S72" s="5">
        <f>MAX(0.70,MIN(1.10,0.85+0.15*G72))</f>
        <v/>
      </c>
      <c r="T72" s="5">
        <f>IF(A72="","",2*('WEEKLY INPUT'!P72/90)+(H72*5+I72*3)*('WEEKLY INPUT'!P72/90)+(P72*0.15)*('WEEKLY INPUT'!P72/90)+Q72*0.25)</f>
        <v/>
      </c>
      <c r="U72" s="5">
        <f>IF($A72="","",$T72*(1+($3-'WEEKLY INPUT'!R72)*0.10)*$R72*$S72*1.0)</f>
        <v/>
      </c>
      <c r="V72" s="5">
        <f>IF($A72="","",$T72*(1+($3-'WEEKLY INPUT'!S72)*0.10)*$R72*$S72*0.975)</f>
        <v/>
      </c>
      <c r="W72" s="5">
        <f>IF($A72="","",$T72*(1+($3-'WEEKLY INPUT'!T72)*0.10)*$R72*$S72*0.95)</f>
        <v/>
      </c>
      <c r="X72" s="5">
        <f>IF($A72="","",$T72*(1+($3-'WEEKLY INPUT'!U72)*0.10)*$R72*$S72*0.925)</f>
        <v/>
      </c>
      <c r="Y72" s="5">
        <f>IF($A72="","",$T72*(1+($3-'WEEKLY INPUT'!V72)*0.10)*$R72*$S72*0.9)</f>
        <v/>
      </c>
      <c r="Z72" s="5">
        <f>IF($A72="","",$T72*(1+($3-'WEEKLY INPUT'!W72)*0.10)*$R72*$S72*0.875)</f>
        <v/>
      </c>
      <c r="AA72" s="5">
        <f>IF($A72="","",$T72*(1+($3-'WEEKLY INPUT'!X72)*0.10)*$R72*$S72*0.85)</f>
        <v/>
      </c>
      <c r="AB72" s="5">
        <f>IF($A72="","",$T72*(1+($3-'WEEKLY INPUT'!Y72)*0.10)*$R72*$S72*0.825)</f>
        <v/>
      </c>
      <c r="AC72" s="5">
        <f>SUM(U72:AB72)</f>
        <v/>
      </c>
      <c r="AD72" s="5">
        <f>SUM(U72:Z72)</f>
        <v/>
      </c>
      <c r="AE72" s="5">
        <f>IFERROR(AD72/D72,0)</f>
        <v/>
      </c>
      <c r="AF72" s="5">
        <f>MAX(0,1-R72)</f>
        <v/>
      </c>
      <c r="AG72" s="5">
        <f>IFERROR((H72+I72)*R72*(1+0.10*(3-'WEEKLY INPUT'!R72)),"")</f>
        <v/>
      </c>
      <c r="AH72" s="5">
        <f>IFERROR(AG72/SUMPRODUCT($AG$6:$AG$205),"")</f>
        <v/>
      </c>
      <c r="AI72" s="5">
        <f>IFERROR(AD72*(1-AF72*0.5)*(1+0.15*AE72),0)</f>
        <v/>
      </c>
      <c r="AJ72" s="5">
        <f>IF(A72="","",RANK(AI72,$AI$6:$AI$205,0))</f>
        <v/>
      </c>
      <c r="AK72" s="5">
        <f>IFERROR('WEEKLY INPUT'!Z72,"")</f>
        <v/>
      </c>
    </row>
    <row r="73">
      <c r="A73" s="5">
        <f>IFERROR('WEEKLY INPUT'!A73,"")</f>
        <v/>
      </c>
      <c r="B73" s="5">
        <f>IFERROR('WEEKLY INPUT'!B73,"")</f>
        <v/>
      </c>
      <c r="C73" s="5">
        <f>IFERROR('WEEKLY INPUT'!C73,"")</f>
        <v/>
      </c>
      <c r="D73" s="5">
        <f>IFERROR('WEEKLY INPUT'!D73,0)</f>
        <v/>
      </c>
      <c r="E73" s="5">
        <f>IFERROR('WEEKLY INPUT'!E73,0)</f>
        <v/>
      </c>
      <c r="F73" s="5">
        <f>IFERROR('WEEKLY INPUT'!F73,0)</f>
        <v/>
      </c>
      <c r="G73" s="5">
        <f>IFERROR('WEEKLY INPUT'!Q73,0)</f>
        <v/>
      </c>
      <c r="H73" s="5">
        <f>IFERROR('WEEKLY INPUT'!H73/'WEEKLY INPUT'!F73*90,0)</f>
        <v/>
      </c>
      <c r="I73" s="5">
        <f>IFERROR('WEEKLY INPUT'!I73/'WEEKLY INPUT'!F73*90,0)</f>
        <v/>
      </c>
      <c r="J73" s="5">
        <f>H73+I73</f>
        <v/>
      </c>
      <c r="K73" s="5">
        <f>IFERROR('WEEKLY INPUT'!J73/'WEEKLY INPUT'!F73*90,0)</f>
        <v/>
      </c>
      <c r="L73" s="5">
        <f>IFERROR('WEEKLY INPUT'!K73/'WEEKLY INPUT'!F73*90,0)</f>
        <v/>
      </c>
      <c r="M73" s="5">
        <f>IFERROR('WEEKLY INPUT'!L73/'WEEKLY INPUT'!F73*90,0)</f>
        <v/>
      </c>
      <c r="N73" s="5">
        <f>IFERROR('WEEKLY INPUT'!M73/'WEEKLY INPUT'!F73*90,0)</f>
        <v/>
      </c>
      <c r="O73" s="5">
        <f>IFERROR('WEEKLY INPUT'!N73/'WEEKLY INPUT'!F73*90,0)</f>
        <v/>
      </c>
      <c r="P73" s="5">
        <f>IFERROR('WEEKLY INPUT'!O73/'WEEKLY INPUT'!F73*90,0)</f>
        <v/>
      </c>
      <c r="Q73" s="5">
        <f>IFERROR(('WEEKLY INPUT'!J73*2+'WEEKLY INPUT'!K73*1+'WEEKLY INPUT'!O73*0.2)/'WEEKLY INPUT'!F73,0)</f>
        <v/>
      </c>
      <c r="R73" s="5">
        <f>MAX(0.25,MIN(1.15,(F73/540)*0.5+G73*0.5))</f>
        <v/>
      </c>
      <c r="S73" s="5">
        <f>MAX(0.70,MIN(1.10,0.85+0.15*G73))</f>
        <v/>
      </c>
      <c r="T73" s="5">
        <f>IF(A73="","",2*('WEEKLY INPUT'!P73/90)+(H73*5+I73*3)*('WEEKLY INPUT'!P73/90)+(P73*0.15)*('WEEKLY INPUT'!P73/90)+Q73*0.25)</f>
        <v/>
      </c>
      <c r="U73" s="5">
        <f>IF($A73="","",$T73*(1+($3-'WEEKLY INPUT'!R73)*0.10)*$R73*$S73*1.0)</f>
        <v/>
      </c>
      <c r="V73" s="5">
        <f>IF($A73="","",$T73*(1+($3-'WEEKLY INPUT'!S73)*0.10)*$R73*$S73*0.975)</f>
        <v/>
      </c>
      <c r="W73" s="5">
        <f>IF($A73="","",$T73*(1+($3-'WEEKLY INPUT'!T73)*0.10)*$R73*$S73*0.95)</f>
        <v/>
      </c>
      <c r="X73" s="5">
        <f>IF($A73="","",$T73*(1+($3-'WEEKLY INPUT'!U73)*0.10)*$R73*$S73*0.925)</f>
        <v/>
      </c>
      <c r="Y73" s="5">
        <f>IF($A73="","",$T73*(1+($3-'WEEKLY INPUT'!V73)*0.10)*$R73*$S73*0.9)</f>
        <v/>
      </c>
      <c r="Z73" s="5">
        <f>IF($A73="","",$T73*(1+($3-'WEEKLY INPUT'!W73)*0.10)*$R73*$S73*0.875)</f>
        <v/>
      </c>
      <c r="AA73" s="5">
        <f>IF($A73="","",$T73*(1+($3-'WEEKLY INPUT'!X73)*0.10)*$R73*$S73*0.85)</f>
        <v/>
      </c>
      <c r="AB73" s="5">
        <f>IF($A73="","",$T73*(1+($3-'WEEKLY INPUT'!Y73)*0.10)*$R73*$S73*0.825)</f>
        <v/>
      </c>
      <c r="AC73" s="5">
        <f>SUM(U73:AB73)</f>
        <v/>
      </c>
      <c r="AD73" s="5">
        <f>SUM(U73:Z73)</f>
        <v/>
      </c>
      <c r="AE73" s="5">
        <f>IFERROR(AD73/D73,0)</f>
        <v/>
      </c>
      <c r="AF73" s="5">
        <f>MAX(0,1-R73)</f>
        <v/>
      </c>
      <c r="AG73" s="5">
        <f>IFERROR((H73+I73)*R73*(1+0.10*(3-'WEEKLY INPUT'!R73)),"")</f>
        <v/>
      </c>
      <c r="AH73" s="5">
        <f>IFERROR(AG73/SUMPRODUCT($AG$6:$AG$205),"")</f>
        <v/>
      </c>
      <c r="AI73" s="5">
        <f>IFERROR(AD73*(1-AF73*0.5)*(1+0.15*AE73),0)</f>
        <v/>
      </c>
      <c r="AJ73" s="5">
        <f>IF(A73="","",RANK(AI73,$AI$6:$AI$205,0))</f>
        <v/>
      </c>
      <c r="AK73" s="5">
        <f>IFERROR('WEEKLY INPUT'!Z73,"")</f>
        <v/>
      </c>
    </row>
    <row r="74">
      <c r="A74" s="5">
        <f>IFERROR('WEEKLY INPUT'!A74,"")</f>
        <v/>
      </c>
      <c r="B74" s="5">
        <f>IFERROR('WEEKLY INPUT'!B74,"")</f>
        <v/>
      </c>
      <c r="C74" s="5">
        <f>IFERROR('WEEKLY INPUT'!C74,"")</f>
        <v/>
      </c>
      <c r="D74" s="5">
        <f>IFERROR('WEEKLY INPUT'!D74,0)</f>
        <v/>
      </c>
      <c r="E74" s="5">
        <f>IFERROR('WEEKLY INPUT'!E74,0)</f>
        <v/>
      </c>
      <c r="F74" s="5">
        <f>IFERROR('WEEKLY INPUT'!F74,0)</f>
        <v/>
      </c>
      <c r="G74" s="5">
        <f>IFERROR('WEEKLY INPUT'!Q74,0)</f>
        <v/>
      </c>
      <c r="H74" s="5">
        <f>IFERROR('WEEKLY INPUT'!H74/'WEEKLY INPUT'!F74*90,0)</f>
        <v/>
      </c>
      <c r="I74" s="5">
        <f>IFERROR('WEEKLY INPUT'!I74/'WEEKLY INPUT'!F74*90,0)</f>
        <v/>
      </c>
      <c r="J74" s="5">
        <f>H74+I74</f>
        <v/>
      </c>
      <c r="K74" s="5">
        <f>IFERROR('WEEKLY INPUT'!J74/'WEEKLY INPUT'!F74*90,0)</f>
        <v/>
      </c>
      <c r="L74" s="5">
        <f>IFERROR('WEEKLY INPUT'!K74/'WEEKLY INPUT'!F74*90,0)</f>
        <v/>
      </c>
      <c r="M74" s="5">
        <f>IFERROR('WEEKLY INPUT'!L74/'WEEKLY INPUT'!F74*90,0)</f>
        <v/>
      </c>
      <c r="N74" s="5">
        <f>IFERROR('WEEKLY INPUT'!M74/'WEEKLY INPUT'!F74*90,0)</f>
        <v/>
      </c>
      <c r="O74" s="5">
        <f>IFERROR('WEEKLY INPUT'!N74/'WEEKLY INPUT'!F74*90,0)</f>
        <v/>
      </c>
      <c r="P74" s="5">
        <f>IFERROR('WEEKLY INPUT'!O74/'WEEKLY INPUT'!F74*90,0)</f>
        <v/>
      </c>
      <c r="Q74" s="5">
        <f>IFERROR(('WEEKLY INPUT'!J74*2+'WEEKLY INPUT'!K74*1+'WEEKLY INPUT'!O74*0.2)/'WEEKLY INPUT'!F74,0)</f>
        <v/>
      </c>
      <c r="R74" s="5">
        <f>MAX(0.25,MIN(1.15,(F74/540)*0.5+G74*0.5))</f>
        <v/>
      </c>
      <c r="S74" s="5">
        <f>MAX(0.70,MIN(1.10,0.85+0.15*G74))</f>
        <v/>
      </c>
      <c r="T74" s="5">
        <f>IF(A74="","",2*('WEEKLY INPUT'!P74/90)+(H74*5+I74*3)*('WEEKLY INPUT'!P74/90)+(P74*0.15)*('WEEKLY INPUT'!P74/90)+Q74*0.25)</f>
        <v/>
      </c>
      <c r="U74" s="5">
        <f>IF($A74="","",$T74*(1+($3-'WEEKLY INPUT'!R74)*0.10)*$R74*$S74*1.0)</f>
        <v/>
      </c>
      <c r="V74" s="5">
        <f>IF($A74="","",$T74*(1+($3-'WEEKLY INPUT'!S74)*0.10)*$R74*$S74*0.975)</f>
        <v/>
      </c>
      <c r="W74" s="5">
        <f>IF($A74="","",$T74*(1+($3-'WEEKLY INPUT'!T74)*0.10)*$R74*$S74*0.95)</f>
        <v/>
      </c>
      <c r="X74" s="5">
        <f>IF($A74="","",$T74*(1+($3-'WEEKLY INPUT'!U74)*0.10)*$R74*$S74*0.925)</f>
        <v/>
      </c>
      <c r="Y74" s="5">
        <f>IF($A74="","",$T74*(1+($3-'WEEKLY INPUT'!V74)*0.10)*$R74*$S74*0.9)</f>
        <v/>
      </c>
      <c r="Z74" s="5">
        <f>IF($A74="","",$T74*(1+($3-'WEEKLY INPUT'!W74)*0.10)*$R74*$S74*0.875)</f>
        <v/>
      </c>
      <c r="AA74" s="5">
        <f>IF($A74="","",$T74*(1+($3-'WEEKLY INPUT'!X74)*0.10)*$R74*$S74*0.85)</f>
        <v/>
      </c>
      <c r="AB74" s="5">
        <f>IF($A74="","",$T74*(1+($3-'WEEKLY INPUT'!Y74)*0.10)*$R74*$S74*0.825)</f>
        <v/>
      </c>
      <c r="AC74" s="5">
        <f>SUM(U74:AB74)</f>
        <v/>
      </c>
      <c r="AD74" s="5">
        <f>SUM(U74:Z74)</f>
        <v/>
      </c>
      <c r="AE74" s="5">
        <f>IFERROR(AD74/D74,0)</f>
        <v/>
      </c>
      <c r="AF74" s="5">
        <f>MAX(0,1-R74)</f>
        <v/>
      </c>
      <c r="AG74" s="5">
        <f>IFERROR((H74+I74)*R74*(1+0.10*(3-'WEEKLY INPUT'!R74)),"")</f>
        <v/>
      </c>
      <c r="AH74" s="5">
        <f>IFERROR(AG74/SUMPRODUCT($AG$6:$AG$205),"")</f>
        <v/>
      </c>
      <c r="AI74" s="5">
        <f>IFERROR(AD74*(1-AF74*0.5)*(1+0.15*AE74),0)</f>
        <v/>
      </c>
      <c r="AJ74" s="5">
        <f>IF(A74="","",RANK(AI74,$AI$6:$AI$205,0))</f>
        <v/>
      </c>
      <c r="AK74" s="5">
        <f>IFERROR('WEEKLY INPUT'!Z74,"")</f>
        <v/>
      </c>
    </row>
    <row r="75">
      <c r="A75" s="5">
        <f>IFERROR('WEEKLY INPUT'!A75,"")</f>
        <v/>
      </c>
      <c r="B75" s="5">
        <f>IFERROR('WEEKLY INPUT'!B75,"")</f>
        <v/>
      </c>
      <c r="C75" s="5">
        <f>IFERROR('WEEKLY INPUT'!C75,"")</f>
        <v/>
      </c>
      <c r="D75" s="5">
        <f>IFERROR('WEEKLY INPUT'!D75,0)</f>
        <v/>
      </c>
      <c r="E75" s="5">
        <f>IFERROR('WEEKLY INPUT'!E75,0)</f>
        <v/>
      </c>
      <c r="F75" s="5">
        <f>IFERROR('WEEKLY INPUT'!F75,0)</f>
        <v/>
      </c>
      <c r="G75" s="5">
        <f>IFERROR('WEEKLY INPUT'!Q75,0)</f>
        <v/>
      </c>
      <c r="H75" s="5">
        <f>IFERROR('WEEKLY INPUT'!H75/'WEEKLY INPUT'!F75*90,0)</f>
        <v/>
      </c>
      <c r="I75" s="5">
        <f>IFERROR('WEEKLY INPUT'!I75/'WEEKLY INPUT'!F75*90,0)</f>
        <v/>
      </c>
      <c r="J75" s="5">
        <f>H75+I75</f>
        <v/>
      </c>
      <c r="K75" s="5">
        <f>IFERROR('WEEKLY INPUT'!J75/'WEEKLY INPUT'!F75*90,0)</f>
        <v/>
      </c>
      <c r="L75" s="5">
        <f>IFERROR('WEEKLY INPUT'!K75/'WEEKLY INPUT'!F75*90,0)</f>
        <v/>
      </c>
      <c r="M75" s="5">
        <f>IFERROR('WEEKLY INPUT'!L75/'WEEKLY INPUT'!F75*90,0)</f>
        <v/>
      </c>
      <c r="N75" s="5">
        <f>IFERROR('WEEKLY INPUT'!M75/'WEEKLY INPUT'!F75*90,0)</f>
        <v/>
      </c>
      <c r="O75" s="5">
        <f>IFERROR('WEEKLY INPUT'!N75/'WEEKLY INPUT'!F75*90,0)</f>
        <v/>
      </c>
      <c r="P75" s="5">
        <f>IFERROR('WEEKLY INPUT'!O75/'WEEKLY INPUT'!F75*90,0)</f>
        <v/>
      </c>
      <c r="Q75" s="5">
        <f>IFERROR(('WEEKLY INPUT'!J75*2+'WEEKLY INPUT'!K75*1+'WEEKLY INPUT'!O75*0.2)/'WEEKLY INPUT'!F75,0)</f>
        <v/>
      </c>
      <c r="R75" s="5">
        <f>MAX(0.25,MIN(1.15,(F75/540)*0.5+G75*0.5))</f>
        <v/>
      </c>
      <c r="S75" s="5">
        <f>MAX(0.70,MIN(1.10,0.85+0.15*G75))</f>
        <v/>
      </c>
      <c r="T75" s="5">
        <f>IF(A75="","",2*('WEEKLY INPUT'!P75/90)+(H75*5+I75*3)*('WEEKLY INPUT'!P75/90)+(P75*0.15)*('WEEKLY INPUT'!P75/90)+Q75*0.25)</f>
        <v/>
      </c>
      <c r="U75" s="5">
        <f>IF($A75="","",$T75*(1+($3-'WEEKLY INPUT'!R75)*0.10)*$R75*$S75*1.0)</f>
        <v/>
      </c>
      <c r="V75" s="5">
        <f>IF($A75="","",$T75*(1+($3-'WEEKLY INPUT'!S75)*0.10)*$R75*$S75*0.975)</f>
        <v/>
      </c>
      <c r="W75" s="5">
        <f>IF($A75="","",$T75*(1+($3-'WEEKLY INPUT'!T75)*0.10)*$R75*$S75*0.95)</f>
        <v/>
      </c>
      <c r="X75" s="5">
        <f>IF($A75="","",$T75*(1+($3-'WEEKLY INPUT'!U75)*0.10)*$R75*$S75*0.925)</f>
        <v/>
      </c>
      <c r="Y75" s="5">
        <f>IF($A75="","",$T75*(1+($3-'WEEKLY INPUT'!V75)*0.10)*$R75*$S75*0.9)</f>
        <v/>
      </c>
      <c r="Z75" s="5">
        <f>IF($A75="","",$T75*(1+($3-'WEEKLY INPUT'!W75)*0.10)*$R75*$S75*0.875)</f>
        <v/>
      </c>
      <c r="AA75" s="5">
        <f>IF($A75="","",$T75*(1+($3-'WEEKLY INPUT'!X75)*0.10)*$R75*$S75*0.85)</f>
        <v/>
      </c>
      <c r="AB75" s="5">
        <f>IF($A75="","",$T75*(1+($3-'WEEKLY INPUT'!Y75)*0.10)*$R75*$S75*0.825)</f>
        <v/>
      </c>
      <c r="AC75" s="5">
        <f>SUM(U75:AB75)</f>
        <v/>
      </c>
      <c r="AD75" s="5">
        <f>SUM(U75:Z75)</f>
        <v/>
      </c>
      <c r="AE75" s="5">
        <f>IFERROR(AD75/D75,0)</f>
        <v/>
      </c>
      <c r="AF75" s="5">
        <f>MAX(0,1-R75)</f>
        <v/>
      </c>
      <c r="AG75" s="5">
        <f>IFERROR((H75+I75)*R75*(1+0.10*(3-'WEEKLY INPUT'!R75)),"")</f>
        <v/>
      </c>
      <c r="AH75" s="5">
        <f>IFERROR(AG75/SUMPRODUCT($AG$6:$AG$205),"")</f>
        <v/>
      </c>
      <c r="AI75" s="5">
        <f>IFERROR(AD75*(1-AF75*0.5)*(1+0.15*AE75),0)</f>
        <v/>
      </c>
      <c r="AJ75" s="5">
        <f>IF(A75="","",RANK(AI75,$AI$6:$AI$205,0))</f>
        <v/>
      </c>
      <c r="AK75" s="5">
        <f>IFERROR('WEEKLY INPUT'!Z75,"")</f>
        <v/>
      </c>
    </row>
    <row r="76">
      <c r="A76" s="5">
        <f>IFERROR('WEEKLY INPUT'!A76,"")</f>
        <v/>
      </c>
      <c r="B76" s="5">
        <f>IFERROR('WEEKLY INPUT'!B76,"")</f>
        <v/>
      </c>
      <c r="C76" s="5">
        <f>IFERROR('WEEKLY INPUT'!C76,"")</f>
        <v/>
      </c>
      <c r="D76" s="5">
        <f>IFERROR('WEEKLY INPUT'!D76,0)</f>
        <v/>
      </c>
      <c r="E76" s="5">
        <f>IFERROR('WEEKLY INPUT'!E76,0)</f>
        <v/>
      </c>
      <c r="F76" s="5">
        <f>IFERROR('WEEKLY INPUT'!F76,0)</f>
        <v/>
      </c>
      <c r="G76" s="5">
        <f>IFERROR('WEEKLY INPUT'!Q76,0)</f>
        <v/>
      </c>
      <c r="H76" s="5">
        <f>IFERROR('WEEKLY INPUT'!H76/'WEEKLY INPUT'!F76*90,0)</f>
        <v/>
      </c>
      <c r="I76" s="5">
        <f>IFERROR('WEEKLY INPUT'!I76/'WEEKLY INPUT'!F76*90,0)</f>
        <v/>
      </c>
      <c r="J76" s="5">
        <f>H76+I76</f>
        <v/>
      </c>
      <c r="K76" s="5">
        <f>IFERROR('WEEKLY INPUT'!J76/'WEEKLY INPUT'!F76*90,0)</f>
        <v/>
      </c>
      <c r="L76" s="5">
        <f>IFERROR('WEEKLY INPUT'!K76/'WEEKLY INPUT'!F76*90,0)</f>
        <v/>
      </c>
      <c r="M76" s="5">
        <f>IFERROR('WEEKLY INPUT'!L76/'WEEKLY INPUT'!F76*90,0)</f>
        <v/>
      </c>
      <c r="N76" s="5">
        <f>IFERROR('WEEKLY INPUT'!M76/'WEEKLY INPUT'!F76*90,0)</f>
        <v/>
      </c>
      <c r="O76" s="5">
        <f>IFERROR('WEEKLY INPUT'!N76/'WEEKLY INPUT'!F76*90,0)</f>
        <v/>
      </c>
      <c r="P76" s="5">
        <f>IFERROR('WEEKLY INPUT'!O76/'WEEKLY INPUT'!F76*90,0)</f>
        <v/>
      </c>
      <c r="Q76" s="5">
        <f>IFERROR(('WEEKLY INPUT'!J76*2+'WEEKLY INPUT'!K76*1+'WEEKLY INPUT'!O76*0.2)/'WEEKLY INPUT'!F76,0)</f>
        <v/>
      </c>
      <c r="R76" s="5">
        <f>MAX(0.25,MIN(1.15,(F76/540)*0.5+G76*0.5))</f>
        <v/>
      </c>
      <c r="S76" s="5">
        <f>MAX(0.70,MIN(1.10,0.85+0.15*G76))</f>
        <v/>
      </c>
      <c r="T76" s="5">
        <f>IF(A76="","",2*('WEEKLY INPUT'!P76/90)+(H76*5+I76*3)*('WEEKLY INPUT'!P76/90)+(P76*0.15)*('WEEKLY INPUT'!P76/90)+Q76*0.25)</f>
        <v/>
      </c>
      <c r="U76" s="5">
        <f>IF($A76="","",$T76*(1+($3-'WEEKLY INPUT'!R76)*0.10)*$R76*$S76*1.0)</f>
        <v/>
      </c>
      <c r="V76" s="5">
        <f>IF($A76="","",$T76*(1+($3-'WEEKLY INPUT'!S76)*0.10)*$R76*$S76*0.975)</f>
        <v/>
      </c>
      <c r="W76" s="5">
        <f>IF($A76="","",$T76*(1+($3-'WEEKLY INPUT'!T76)*0.10)*$R76*$S76*0.95)</f>
        <v/>
      </c>
      <c r="X76" s="5">
        <f>IF($A76="","",$T76*(1+($3-'WEEKLY INPUT'!U76)*0.10)*$R76*$S76*0.925)</f>
        <v/>
      </c>
      <c r="Y76" s="5">
        <f>IF($A76="","",$T76*(1+($3-'WEEKLY INPUT'!V76)*0.10)*$R76*$S76*0.9)</f>
        <v/>
      </c>
      <c r="Z76" s="5">
        <f>IF($A76="","",$T76*(1+($3-'WEEKLY INPUT'!W76)*0.10)*$R76*$S76*0.875)</f>
        <v/>
      </c>
      <c r="AA76" s="5">
        <f>IF($A76="","",$T76*(1+($3-'WEEKLY INPUT'!X76)*0.10)*$R76*$S76*0.85)</f>
        <v/>
      </c>
      <c r="AB76" s="5">
        <f>IF($A76="","",$T76*(1+($3-'WEEKLY INPUT'!Y76)*0.10)*$R76*$S76*0.825)</f>
        <v/>
      </c>
      <c r="AC76" s="5">
        <f>SUM(U76:AB76)</f>
        <v/>
      </c>
      <c r="AD76" s="5">
        <f>SUM(U76:Z76)</f>
        <v/>
      </c>
      <c r="AE76" s="5">
        <f>IFERROR(AD76/D76,0)</f>
        <v/>
      </c>
      <c r="AF76" s="5">
        <f>MAX(0,1-R76)</f>
        <v/>
      </c>
      <c r="AG76" s="5">
        <f>IFERROR((H76+I76)*R76*(1+0.10*(3-'WEEKLY INPUT'!R76)),"")</f>
        <v/>
      </c>
      <c r="AH76" s="5">
        <f>IFERROR(AG76/SUMPRODUCT($AG$6:$AG$205),"")</f>
        <v/>
      </c>
      <c r="AI76" s="5">
        <f>IFERROR(AD76*(1-AF76*0.5)*(1+0.15*AE76),0)</f>
        <v/>
      </c>
      <c r="AJ76" s="5">
        <f>IF(A76="","",RANK(AI76,$AI$6:$AI$205,0))</f>
        <v/>
      </c>
      <c r="AK76" s="5">
        <f>IFERROR('WEEKLY INPUT'!Z76,"")</f>
        <v/>
      </c>
    </row>
    <row r="77">
      <c r="A77" s="5">
        <f>IFERROR('WEEKLY INPUT'!A77,"")</f>
        <v/>
      </c>
      <c r="B77" s="5">
        <f>IFERROR('WEEKLY INPUT'!B77,"")</f>
        <v/>
      </c>
      <c r="C77" s="5">
        <f>IFERROR('WEEKLY INPUT'!C77,"")</f>
        <v/>
      </c>
      <c r="D77" s="5">
        <f>IFERROR('WEEKLY INPUT'!D77,0)</f>
        <v/>
      </c>
      <c r="E77" s="5">
        <f>IFERROR('WEEKLY INPUT'!E77,0)</f>
        <v/>
      </c>
      <c r="F77" s="5">
        <f>IFERROR('WEEKLY INPUT'!F77,0)</f>
        <v/>
      </c>
      <c r="G77" s="5">
        <f>IFERROR('WEEKLY INPUT'!Q77,0)</f>
        <v/>
      </c>
      <c r="H77" s="5">
        <f>IFERROR('WEEKLY INPUT'!H77/'WEEKLY INPUT'!F77*90,0)</f>
        <v/>
      </c>
      <c r="I77" s="5">
        <f>IFERROR('WEEKLY INPUT'!I77/'WEEKLY INPUT'!F77*90,0)</f>
        <v/>
      </c>
      <c r="J77" s="5">
        <f>H77+I77</f>
        <v/>
      </c>
      <c r="K77" s="5">
        <f>IFERROR('WEEKLY INPUT'!J77/'WEEKLY INPUT'!F77*90,0)</f>
        <v/>
      </c>
      <c r="L77" s="5">
        <f>IFERROR('WEEKLY INPUT'!K77/'WEEKLY INPUT'!F77*90,0)</f>
        <v/>
      </c>
      <c r="M77" s="5">
        <f>IFERROR('WEEKLY INPUT'!L77/'WEEKLY INPUT'!F77*90,0)</f>
        <v/>
      </c>
      <c r="N77" s="5">
        <f>IFERROR('WEEKLY INPUT'!M77/'WEEKLY INPUT'!F77*90,0)</f>
        <v/>
      </c>
      <c r="O77" s="5">
        <f>IFERROR('WEEKLY INPUT'!N77/'WEEKLY INPUT'!F77*90,0)</f>
        <v/>
      </c>
      <c r="P77" s="5">
        <f>IFERROR('WEEKLY INPUT'!O77/'WEEKLY INPUT'!F77*90,0)</f>
        <v/>
      </c>
      <c r="Q77" s="5">
        <f>IFERROR(('WEEKLY INPUT'!J77*2+'WEEKLY INPUT'!K77*1+'WEEKLY INPUT'!O77*0.2)/'WEEKLY INPUT'!F77,0)</f>
        <v/>
      </c>
      <c r="R77" s="5">
        <f>MAX(0.25,MIN(1.15,(F77/540)*0.5+G77*0.5))</f>
        <v/>
      </c>
      <c r="S77" s="5">
        <f>MAX(0.70,MIN(1.10,0.85+0.15*G77))</f>
        <v/>
      </c>
      <c r="T77" s="5">
        <f>IF(A77="","",2*('WEEKLY INPUT'!P77/90)+(H77*5+I77*3)*('WEEKLY INPUT'!P77/90)+(P77*0.15)*('WEEKLY INPUT'!P77/90)+Q77*0.25)</f>
        <v/>
      </c>
      <c r="U77" s="5">
        <f>IF($A77="","",$T77*(1+($3-'WEEKLY INPUT'!R77)*0.10)*$R77*$S77*1.0)</f>
        <v/>
      </c>
      <c r="V77" s="5">
        <f>IF($A77="","",$T77*(1+($3-'WEEKLY INPUT'!S77)*0.10)*$R77*$S77*0.975)</f>
        <v/>
      </c>
      <c r="W77" s="5">
        <f>IF($A77="","",$T77*(1+($3-'WEEKLY INPUT'!T77)*0.10)*$R77*$S77*0.95)</f>
        <v/>
      </c>
      <c r="X77" s="5">
        <f>IF($A77="","",$T77*(1+($3-'WEEKLY INPUT'!U77)*0.10)*$R77*$S77*0.925)</f>
        <v/>
      </c>
      <c r="Y77" s="5">
        <f>IF($A77="","",$T77*(1+($3-'WEEKLY INPUT'!V77)*0.10)*$R77*$S77*0.9)</f>
        <v/>
      </c>
      <c r="Z77" s="5">
        <f>IF($A77="","",$T77*(1+($3-'WEEKLY INPUT'!W77)*0.10)*$R77*$S77*0.875)</f>
        <v/>
      </c>
      <c r="AA77" s="5">
        <f>IF($A77="","",$T77*(1+($3-'WEEKLY INPUT'!X77)*0.10)*$R77*$S77*0.85)</f>
        <v/>
      </c>
      <c r="AB77" s="5">
        <f>IF($A77="","",$T77*(1+($3-'WEEKLY INPUT'!Y77)*0.10)*$R77*$S77*0.825)</f>
        <v/>
      </c>
      <c r="AC77" s="5">
        <f>SUM(U77:AB77)</f>
        <v/>
      </c>
      <c r="AD77" s="5">
        <f>SUM(U77:Z77)</f>
        <v/>
      </c>
      <c r="AE77" s="5">
        <f>IFERROR(AD77/D77,0)</f>
        <v/>
      </c>
      <c r="AF77" s="5">
        <f>MAX(0,1-R77)</f>
        <v/>
      </c>
      <c r="AG77" s="5">
        <f>IFERROR((H77+I77)*R77*(1+0.10*(3-'WEEKLY INPUT'!R77)),"")</f>
        <v/>
      </c>
      <c r="AH77" s="5">
        <f>IFERROR(AG77/SUMPRODUCT($AG$6:$AG$205),"")</f>
        <v/>
      </c>
      <c r="AI77" s="5">
        <f>IFERROR(AD77*(1-AF77*0.5)*(1+0.15*AE77),0)</f>
        <v/>
      </c>
      <c r="AJ77" s="5">
        <f>IF(A77="","",RANK(AI77,$AI$6:$AI$205,0))</f>
        <v/>
      </c>
      <c r="AK77" s="5">
        <f>IFERROR('WEEKLY INPUT'!Z77,"")</f>
        <v/>
      </c>
    </row>
    <row r="78">
      <c r="A78" s="5">
        <f>IFERROR('WEEKLY INPUT'!A78,"")</f>
        <v/>
      </c>
      <c r="B78" s="5">
        <f>IFERROR('WEEKLY INPUT'!B78,"")</f>
        <v/>
      </c>
      <c r="C78" s="5">
        <f>IFERROR('WEEKLY INPUT'!C78,"")</f>
        <v/>
      </c>
      <c r="D78" s="5">
        <f>IFERROR('WEEKLY INPUT'!D78,0)</f>
        <v/>
      </c>
      <c r="E78" s="5">
        <f>IFERROR('WEEKLY INPUT'!E78,0)</f>
        <v/>
      </c>
      <c r="F78" s="5">
        <f>IFERROR('WEEKLY INPUT'!F78,0)</f>
        <v/>
      </c>
      <c r="G78" s="5">
        <f>IFERROR('WEEKLY INPUT'!Q78,0)</f>
        <v/>
      </c>
      <c r="H78" s="5">
        <f>IFERROR('WEEKLY INPUT'!H78/'WEEKLY INPUT'!F78*90,0)</f>
        <v/>
      </c>
      <c r="I78" s="5">
        <f>IFERROR('WEEKLY INPUT'!I78/'WEEKLY INPUT'!F78*90,0)</f>
        <v/>
      </c>
      <c r="J78" s="5">
        <f>H78+I78</f>
        <v/>
      </c>
      <c r="K78" s="5">
        <f>IFERROR('WEEKLY INPUT'!J78/'WEEKLY INPUT'!F78*90,0)</f>
        <v/>
      </c>
      <c r="L78" s="5">
        <f>IFERROR('WEEKLY INPUT'!K78/'WEEKLY INPUT'!F78*90,0)</f>
        <v/>
      </c>
      <c r="M78" s="5">
        <f>IFERROR('WEEKLY INPUT'!L78/'WEEKLY INPUT'!F78*90,0)</f>
        <v/>
      </c>
      <c r="N78" s="5">
        <f>IFERROR('WEEKLY INPUT'!M78/'WEEKLY INPUT'!F78*90,0)</f>
        <v/>
      </c>
      <c r="O78" s="5">
        <f>IFERROR('WEEKLY INPUT'!N78/'WEEKLY INPUT'!F78*90,0)</f>
        <v/>
      </c>
      <c r="P78" s="5">
        <f>IFERROR('WEEKLY INPUT'!O78/'WEEKLY INPUT'!F78*90,0)</f>
        <v/>
      </c>
      <c r="Q78" s="5">
        <f>IFERROR(('WEEKLY INPUT'!J78*2+'WEEKLY INPUT'!K78*1+'WEEKLY INPUT'!O78*0.2)/'WEEKLY INPUT'!F78,0)</f>
        <v/>
      </c>
      <c r="R78" s="5">
        <f>MAX(0.25,MIN(1.15,(F78/540)*0.5+G78*0.5))</f>
        <v/>
      </c>
      <c r="S78" s="5">
        <f>MAX(0.70,MIN(1.10,0.85+0.15*G78))</f>
        <v/>
      </c>
      <c r="T78" s="5">
        <f>IF(A78="","",2*('WEEKLY INPUT'!P78/90)+(H78*5+I78*3)*('WEEKLY INPUT'!P78/90)+(P78*0.15)*('WEEKLY INPUT'!P78/90)+Q78*0.25)</f>
        <v/>
      </c>
      <c r="U78" s="5">
        <f>IF($A78="","",$T78*(1+($3-'WEEKLY INPUT'!R78)*0.10)*$R78*$S78*1.0)</f>
        <v/>
      </c>
      <c r="V78" s="5">
        <f>IF($A78="","",$T78*(1+($3-'WEEKLY INPUT'!S78)*0.10)*$R78*$S78*0.975)</f>
        <v/>
      </c>
      <c r="W78" s="5">
        <f>IF($A78="","",$T78*(1+($3-'WEEKLY INPUT'!T78)*0.10)*$R78*$S78*0.95)</f>
        <v/>
      </c>
      <c r="X78" s="5">
        <f>IF($A78="","",$T78*(1+($3-'WEEKLY INPUT'!U78)*0.10)*$R78*$S78*0.925)</f>
        <v/>
      </c>
      <c r="Y78" s="5">
        <f>IF($A78="","",$T78*(1+($3-'WEEKLY INPUT'!V78)*0.10)*$R78*$S78*0.9)</f>
        <v/>
      </c>
      <c r="Z78" s="5">
        <f>IF($A78="","",$T78*(1+($3-'WEEKLY INPUT'!W78)*0.10)*$R78*$S78*0.875)</f>
        <v/>
      </c>
      <c r="AA78" s="5">
        <f>IF($A78="","",$T78*(1+($3-'WEEKLY INPUT'!X78)*0.10)*$R78*$S78*0.85)</f>
        <v/>
      </c>
      <c r="AB78" s="5">
        <f>IF($A78="","",$T78*(1+($3-'WEEKLY INPUT'!Y78)*0.10)*$R78*$S78*0.825)</f>
        <v/>
      </c>
      <c r="AC78" s="5">
        <f>SUM(U78:AB78)</f>
        <v/>
      </c>
      <c r="AD78" s="5">
        <f>SUM(U78:Z78)</f>
        <v/>
      </c>
      <c r="AE78" s="5">
        <f>IFERROR(AD78/D78,0)</f>
        <v/>
      </c>
      <c r="AF78" s="5">
        <f>MAX(0,1-R78)</f>
        <v/>
      </c>
      <c r="AG78" s="5">
        <f>IFERROR((H78+I78)*R78*(1+0.10*(3-'WEEKLY INPUT'!R78)),"")</f>
        <v/>
      </c>
      <c r="AH78" s="5">
        <f>IFERROR(AG78/SUMPRODUCT($AG$6:$AG$205),"")</f>
        <v/>
      </c>
      <c r="AI78" s="5">
        <f>IFERROR(AD78*(1-AF78*0.5)*(1+0.15*AE78),0)</f>
        <v/>
      </c>
      <c r="AJ78" s="5">
        <f>IF(A78="","",RANK(AI78,$AI$6:$AI$205,0))</f>
        <v/>
      </c>
      <c r="AK78" s="5">
        <f>IFERROR('WEEKLY INPUT'!Z78,"")</f>
        <v/>
      </c>
    </row>
    <row r="79">
      <c r="A79" s="5">
        <f>IFERROR('WEEKLY INPUT'!A79,"")</f>
        <v/>
      </c>
      <c r="B79" s="5">
        <f>IFERROR('WEEKLY INPUT'!B79,"")</f>
        <v/>
      </c>
      <c r="C79" s="5">
        <f>IFERROR('WEEKLY INPUT'!C79,"")</f>
        <v/>
      </c>
      <c r="D79" s="5">
        <f>IFERROR('WEEKLY INPUT'!D79,0)</f>
        <v/>
      </c>
      <c r="E79" s="5">
        <f>IFERROR('WEEKLY INPUT'!E79,0)</f>
        <v/>
      </c>
      <c r="F79" s="5">
        <f>IFERROR('WEEKLY INPUT'!F79,0)</f>
        <v/>
      </c>
      <c r="G79" s="5">
        <f>IFERROR('WEEKLY INPUT'!Q79,0)</f>
        <v/>
      </c>
      <c r="H79" s="5">
        <f>IFERROR('WEEKLY INPUT'!H79/'WEEKLY INPUT'!F79*90,0)</f>
        <v/>
      </c>
      <c r="I79" s="5">
        <f>IFERROR('WEEKLY INPUT'!I79/'WEEKLY INPUT'!F79*90,0)</f>
        <v/>
      </c>
      <c r="J79" s="5">
        <f>H79+I79</f>
        <v/>
      </c>
      <c r="K79" s="5">
        <f>IFERROR('WEEKLY INPUT'!J79/'WEEKLY INPUT'!F79*90,0)</f>
        <v/>
      </c>
      <c r="L79" s="5">
        <f>IFERROR('WEEKLY INPUT'!K79/'WEEKLY INPUT'!F79*90,0)</f>
        <v/>
      </c>
      <c r="M79" s="5">
        <f>IFERROR('WEEKLY INPUT'!L79/'WEEKLY INPUT'!F79*90,0)</f>
        <v/>
      </c>
      <c r="N79" s="5">
        <f>IFERROR('WEEKLY INPUT'!M79/'WEEKLY INPUT'!F79*90,0)</f>
        <v/>
      </c>
      <c r="O79" s="5">
        <f>IFERROR('WEEKLY INPUT'!N79/'WEEKLY INPUT'!F79*90,0)</f>
        <v/>
      </c>
      <c r="P79" s="5">
        <f>IFERROR('WEEKLY INPUT'!O79/'WEEKLY INPUT'!F79*90,0)</f>
        <v/>
      </c>
      <c r="Q79" s="5">
        <f>IFERROR(('WEEKLY INPUT'!J79*2+'WEEKLY INPUT'!K79*1+'WEEKLY INPUT'!O79*0.2)/'WEEKLY INPUT'!F79,0)</f>
        <v/>
      </c>
      <c r="R79" s="5">
        <f>MAX(0.25,MIN(1.15,(F79/540)*0.5+G79*0.5))</f>
        <v/>
      </c>
      <c r="S79" s="5">
        <f>MAX(0.70,MIN(1.10,0.85+0.15*G79))</f>
        <v/>
      </c>
      <c r="T79" s="5">
        <f>IF(A79="","",2*('WEEKLY INPUT'!P79/90)+(H79*5+I79*3)*('WEEKLY INPUT'!P79/90)+(P79*0.15)*('WEEKLY INPUT'!P79/90)+Q79*0.25)</f>
        <v/>
      </c>
      <c r="U79" s="5">
        <f>IF($A79="","",$T79*(1+($3-'WEEKLY INPUT'!R79)*0.10)*$R79*$S79*1.0)</f>
        <v/>
      </c>
      <c r="V79" s="5">
        <f>IF($A79="","",$T79*(1+($3-'WEEKLY INPUT'!S79)*0.10)*$R79*$S79*0.975)</f>
        <v/>
      </c>
      <c r="W79" s="5">
        <f>IF($A79="","",$T79*(1+($3-'WEEKLY INPUT'!T79)*0.10)*$R79*$S79*0.95)</f>
        <v/>
      </c>
      <c r="X79" s="5">
        <f>IF($A79="","",$T79*(1+($3-'WEEKLY INPUT'!U79)*0.10)*$R79*$S79*0.925)</f>
        <v/>
      </c>
      <c r="Y79" s="5">
        <f>IF($A79="","",$T79*(1+($3-'WEEKLY INPUT'!V79)*0.10)*$R79*$S79*0.9)</f>
        <v/>
      </c>
      <c r="Z79" s="5">
        <f>IF($A79="","",$T79*(1+($3-'WEEKLY INPUT'!W79)*0.10)*$R79*$S79*0.875)</f>
        <v/>
      </c>
      <c r="AA79" s="5">
        <f>IF($A79="","",$T79*(1+($3-'WEEKLY INPUT'!X79)*0.10)*$R79*$S79*0.85)</f>
        <v/>
      </c>
      <c r="AB79" s="5">
        <f>IF($A79="","",$T79*(1+($3-'WEEKLY INPUT'!Y79)*0.10)*$R79*$S79*0.825)</f>
        <v/>
      </c>
      <c r="AC79" s="5">
        <f>SUM(U79:AB79)</f>
        <v/>
      </c>
      <c r="AD79" s="5">
        <f>SUM(U79:Z79)</f>
        <v/>
      </c>
      <c r="AE79" s="5">
        <f>IFERROR(AD79/D79,0)</f>
        <v/>
      </c>
      <c r="AF79" s="5">
        <f>MAX(0,1-R79)</f>
        <v/>
      </c>
      <c r="AG79" s="5">
        <f>IFERROR((H79+I79)*R79*(1+0.10*(3-'WEEKLY INPUT'!R79)),"")</f>
        <v/>
      </c>
      <c r="AH79" s="5">
        <f>IFERROR(AG79/SUMPRODUCT($AG$6:$AG$205),"")</f>
        <v/>
      </c>
      <c r="AI79" s="5">
        <f>IFERROR(AD79*(1-AF79*0.5)*(1+0.15*AE79),0)</f>
        <v/>
      </c>
      <c r="AJ79" s="5">
        <f>IF(A79="","",RANK(AI79,$AI$6:$AI$205,0))</f>
        <v/>
      </c>
      <c r="AK79" s="5">
        <f>IFERROR('WEEKLY INPUT'!Z79,"")</f>
        <v/>
      </c>
    </row>
    <row r="80">
      <c r="A80" s="5">
        <f>IFERROR('WEEKLY INPUT'!A80,"")</f>
        <v/>
      </c>
      <c r="B80" s="5">
        <f>IFERROR('WEEKLY INPUT'!B80,"")</f>
        <v/>
      </c>
      <c r="C80" s="5">
        <f>IFERROR('WEEKLY INPUT'!C80,"")</f>
        <v/>
      </c>
      <c r="D80" s="5">
        <f>IFERROR('WEEKLY INPUT'!D80,0)</f>
        <v/>
      </c>
      <c r="E80" s="5">
        <f>IFERROR('WEEKLY INPUT'!E80,0)</f>
        <v/>
      </c>
      <c r="F80" s="5">
        <f>IFERROR('WEEKLY INPUT'!F80,0)</f>
        <v/>
      </c>
      <c r="G80" s="5">
        <f>IFERROR('WEEKLY INPUT'!Q80,0)</f>
        <v/>
      </c>
      <c r="H80" s="5">
        <f>IFERROR('WEEKLY INPUT'!H80/'WEEKLY INPUT'!F80*90,0)</f>
        <v/>
      </c>
      <c r="I80" s="5">
        <f>IFERROR('WEEKLY INPUT'!I80/'WEEKLY INPUT'!F80*90,0)</f>
        <v/>
      </c>
      <c r="J80" s="5">
        <f>H80+I80</f>
        <v/>
      </c>
      <c r="K80" s="5">
        <f>IFERROR('WEEKLY INPUT'!J80/'WEEKLY INPUT'!F80*90,0)</f>
        <v/>
      </c>
      <c r="L80" s="5">
        <f>IFERROR('WEEKLY INPUT'!K80/'WEEKLY INPUT'!F80*90,0)</f>
        <v/>
      </c>
      <c r="M80" s="5">
        <f>IFERROR('WEEKLY INPUT'!L80/'WEEKLY INPUT'!F80*90,0)</f>
        <v/>
      </c>
      <c r="N80" s="5">
        <f>IFERROR('WEEKLY INPUT'!M80/'WEEKLY INPUT'!F80*90,0)</f>
        <v/>
      </c>
      <c r="O80" s="5">
        <f>IFERROR('WEEKLY INPUT'!N80/'WEEKLY INPUT'!F80*90,0)</f>
        <v/>
      </c>
      <c r="P80" s="5">
        <f>IFERROR('WEEKLY INPUT'!O80/'WEEKLY INPUT'!F80*90,0)</f>
        <v/>
      </c>
      <c r="Q80" s="5">
        <f>IFERROR(('WEEKLY INPUT'!J80*2+'WEEKLY INPUT'!K80*1+'WEEKLY INPUT'!O80*0.2)/'WEEKLY INPUT'!F80,0)</f>
        <v/>
      </c>
      <c r="R80" s="5">
        <f>MAX(0.25,MIN(1.15,(F80/540)*0.5+G80*0.5))</f>
        <v/>
      </c>
      <c r="S80" s="5">
        <f>MAX(0.70,MIN(1.10,0.85+0.15*G80))</f>
        <v/>
      </c>
      <c r="T80" s="5">
        <f>IF(A80="","",2*('WEEKLY INPUT'!P80/90)+(H80*5+I80*3)*('WEEKLY INPUT'!P80/90)+(P80*0.15)*('WEEKLY INPUT'!P80/90)+Q80*0.25)</f>
        <v/>
      </c>
      <c r="U80" s="5">
        <f>IF($A80="","",$T80*(1+($3-'WEEKLY INPUT'!R80)*0.10)*$R80*$S80*1.0)</f>
        <v/>
      </c>
      <c r="V80" s="5">
        <f>IF($A80="","",$T80*(1+($3-'WEEKLY INPUT'!S80)*0.10)*$R80*$S80*0.975)</f>
        <v/>
      </c>
      <c r="W80" s="5">
        <f>IF($A80="","",$T80*(1+($3-'WEEKLY INPUT'!T80)*0.10)*$R80*$S80*0.95)</f>
        <v/>
      </c>
      <c r="X80" s="5">
        <f>IF($A80="","",$T80*(1+($3-'WEEKLY INPUT'!U80)*0.10)*$R80*$S80*0.925)</f>
        <v/>
      </c>
      <c r="Y80" s="5">
        <f>IF($A80="","",$T80*(1+($3-'WEEKLY INPUT'!V80)*0.10)*$R80*$S80*0.9)</f>
        <v/>
      </c>
      <c r="Z80" s="5">
        <f>IF($A80="","",$T80*(1+($3-'WEEKLY INPUT'!W80)*0.10)*$R80*$S80*0.875)</f>
        <v/>
      </c>
      <c r="AA80" s="5">
        <f>IF($A80="","",$T80*(1+($3-'WEEKLY INPUT'!X80)*0.10)*$R80*$S80*0.85)</f>
        <v/>
      </c>
      <c r="AB80" s="5">
        <f>IF($A80="","",$T80*(1+($3-'WEEKLY INPUT'!Y80)*0.10)*$R80*$S80*0.825)</f>
        <v/>
      </c>
      <c r="AC80" s="5">
        <f>SUM(U80:AB80)</f>
        <v/>
      </c>
      <c r="AD80" s="5">
        <f>SUM(U80:Z80)</f>
        <v/>
      </c>
      <c r="AE80" s="5">
        <f>IFERROR(AD80/D80,0)</f>
        <v/>
      </c>
      <c r="AF80" s="5">
        <f>MAX(0,1-R80)</f>
        <v/>
      </c>
      <c r="AG80" s="5">
        <f>IFERROR((H80+I80)*R80*(1+0.10*(3-'WEEKLY INPUT'!R80)),"")</f>
        <v/>
      </c>
      <c r="AH80" s="5">
        <f>IFERROR(AG80/SUMPRODUCT($AG$6:$AG$205),"")</f>
        <v/>
      </c>
      <c r="AI80" s="5">
        <f>IFERROR(AD80*(1-AF80*0.5)*(1+0.15*AE80),0)</f>
        <v/>
      </c>
      <c r="AJ80" s="5">
        <f>IF(A80="","",RANK(AI80,$AI$6:$AI$205,0))</f>
        <v/>
      </c>
      <c r="AK80" s="5">
        <f>IFERROR('WEEKLY INPUT'!Z80,"")</f>
        <v/>
      </c>
    </row>
    <row r="81">
      <c r="A81" s="5">
        <f>IFERROR('WEEKLY INPUT'!A81,"")</f>
        <v/>
      </c>
      <c r="B81" s="5">
        <f>IFERROR('WEEKLY INPUT'!B81,"")</f>
        <v/>
      </c>
      <c r="C81" s="5">
        <f>IFERROR('WEEKLY INPUT'!C81,"")</f>
        <v/>
      </c>
      <c r="D81" s="5">
        <f>IFERROR('WEEKLY INPUT'!D81,0)</f>
        <v/>
      </c>
      <c r="E81" s="5">
        <f>IFERROR('WEEKLY INPUT'!E81,0)</f>
        <v/>
      </c>
      <c r="F81" s="5">
        <f>IFERROR('WEEKLY INPUT'!F81,0)</f>
        <v/>
      </c>
      <c r="G81" s="5">
        <f>IFERROR('WEEKLY INPUT'!Q81,0)</f>
        <v/>
      </c>
      <c r="H81" s="5">
        <f>IFERROR('WEEKLY INPUT'!H81/'WEEKLY INPUT'!F81*90,0)</f>
        <v/>
      </c>
      <c r="I81" s="5">
        <f>IFERROR('WEEKLY INPUT'!I81/'WEEKLY INPUT'!F81*90,0)</f>
        <v/>
      </c>
      <c r="J81" s="5">
        <f>H81+I81</f>
        <v/>
      </c>
      <c r="K81" s="5">
        <f>IFERROR('WEEKLY INPUT'!J81/'WEEKLY INPUT'!F81*90,0)</f>
        <v/>
      </c>
      <c r="L81" s="5">
        <f>IFERROR('WEEKLY INPUT'!K81/'WEEKLY INPUT'!F81*90,0)</f>
        <v/>
      </c>
      <c r="M81" s="5">
        <f>IFERROR('WEEKLY INPUT'!L81/'WEEKLY INPUT'!F81*90,0)</f>
        <v/>
      </c>
      <c r="N81" s="5">
        <f>IFERROR('WEEKLY INPUT'!M81/'WEEKLY INPUT'!F81*90,0)</f>
        <v/>
      </c>
      <c r="O81" s="5">
        <f>IFERROR('WEEKLY INPUT'!N81/'WEEKLY INPUT'!F81*90,0)</f>
        <v/>
      </c>
      <c r="P81" s="5">
        <f>IFERROR('WEEKLY INPUT'!O81/'WEEKLY INPUT'!F81*90,0)</f>
        <v/>
      </c>
      <c r="Q81" s="5">
        <f>IFERROR(('WEEKLY INPUT'!J81*2+'WEEKLY INPUT'!K81*1+'WEEKLY INPUT'!O81*0.2)/'WEEKLY INPUT'!F81,0)</f>
        <v/>
      </c>
      <c r="R81" s="5">
        <f>MAX(0.25,MIN(1.15,(F81/540)*0.5+G81*0.5))</f>
        <v/>
      </c>
      <c r="S81" s="5">
        <f>MAX(0.70,MIN(1.10,0.85+0.15*G81))</f>
        <v/>
      </c>
      <c r="T81" s="5">
        <f>IF(A81="","",2*('WEEKLY INPUT'!P81/90)+(H81*5+I81*3)*('WEEKLY INPUT'!P81/90)+(P81*0.15)*('WEEKLY INPUT'!P81/90)+Q81*0.25)</f>
        <v/>
      </c>
      <c r="U81" s="5">
        <f>IF($A81="","",$T81*(1+($3-'WEEKLY INPUT'!R81)*0.10)*$R81*$S81*1.0)</f>
        <v/>
      </c>
      <c r="V81" s="5">
        <f>IF($A81="","",$T81*(1+($3-'WEEKLY INPUT'!S81)*0.10)*$R81*$S81*0.975)</f>
        <v/>
      </c>
      <c r="W81" s="5">
        <f>IF($A81="","",$T81*(1+($3-'WEEKLY INPUT'!T81)*0.10)*$R81*$S81*0.95)</f>
        <v/>
      </c>
      <c r="X81" s="5">
        <f>IF($A81="","",$T81*(1+($3-'WEEKLY INPUT'!U81)*0.10)*$R81*$S81*0.925)</f>
        <v/>
      </c>
      <c r="Y81" s="5">
        <f>IF($A81="","",$T81*(1+($3-'WEEKLY INPUT'!V81)*0.10)*$R81*$S81*0.9)</f>
        <v/>
      </c>
      <c r="Z81" s="5">
        <f>IF($A81="","",$T81*(1+($3-'WEEKLY INPUT'!W81)*0.10)*$R81*$S81*0.875)</f>
        <v/>
      </c>
      <c r="AA81" s="5">
        <f>IF($A81="","",$T81*(1+($3-'WEEKLY INPUT'!X81)*0.10)*$R81*$S81*0.85)</f>
        <v/>
      </c>
      <c r="AB81" s="5">
        <f>IF($A81="","",$T81*(1+($3-'WEEKLY INPUT'!Y81)*0.10)*$R81*$S81*0.825)</f>
        <v/>
      </c>
      <c r="AC81" s="5">
        <f>SUM(U81:AB81)</f>
        <v/>
      </c>
      <c r="AD81" s="5">
        <f>SUM(U81:Z81)</f>
        <v/>
      </c>
      <c r="AE81" s="5">
        <f>IFERROR(AD81/D81,0)</f>
        <v/>
      </c>
      <c r="AF81" s="5">
        <f>MAX(0,1-R81)</f>
        <v/>
      </c>
      <c r="AG81" s="5">
        <f>IFERROR((H81+I81)*R81*(1+0.10*(3-'WEEKLY INPUT'!R81)),"")</f>
        <v/>
      </c>
      <c r="AH81" s="5">
        <f>IFERROR(AG81/SUMPRODUCT($AG$6:$AG$205),"")</f>
        <v/>
      </c>
      <c r="AI81" s="5">
        <f>IFERROR(AD81*(1-AF81*0.5)*(1+0.15*AE81),0)</f>
        <v/>
      </c>
      <c r="AJ81" s="5">
        <f>IF(A81="","",RANK(AI81,$AI$6:$AI$205,0))</f>
        <v/>
      </c>
      <c r="AK81" s="5">
        <f>IFERROR('WEEKLY INPUT'!Z81,"")</f>
        <v/>
      </c>
    </row>
    <row r="82">
      <c r="A82" s="5">
        <f>IFERROR('WEEKLY INPUT'!A82,"")</f>
        <v/>
      </c>
      <c r="B82" s="5">
        <f>IFERROR('WEEKLY INPUT'!B82,"")</f>
        <v/>
      </c>
      <c r="C82" s="5">
        <f>IFERROR('WEEKLY INPUT'!C82,"")</f>
        <v/>
      </c>
      <c r="D82" s="5">
        <f>IFERROR('WEEKLY INPUT'!D82,0)</f>
        <v/>
      </c>
      <c r="E82" s="5">
        <f>IFERROR('WEEKLY INPUT'!E82,0)</f>
        <v/>
      </c>
      <c r="F82" s="5">
        <f>IFERROR('WEEKLY INPUT'!F82,0)</f>
        <v/>
      </c>
      <c r="G82" s="5">
        <f>IFERROR('WEEKLY INPUT'!Q82,0)</f>
        <v/>
      </c>
      <c r="H82" s="5">
        <f>IFERROR('WEEKLY INPUT'!H82/'WEEKLY INPUT'!F82*90,0)</f>
        <v/>
      </c>
      <c r="I82" s="5">
        <f>IFERROR('WEEKLY INPUT'!I82/'WEEKLY INPUT'!F82*90,0)</f>
        <v/>
      </c>
      <c r="J82" s="5">
        <f>H82+I82</f>
        <v/>
      </c>
      <c r="K82" s="5">
        <f>IFERROR('WEEKLY INPUT'!J82/'WEEKLY INPUT'!F82*90,0)</f>
        <v/>
      </c>
      <c r="L82" s="5">
        <f>IFERROR('WEEKLY INPUT'!K82/'WEEKLY INPUT'!F82*90,0)</f>
        <v/>
      </c>
      <c r="M82" s="5">
        <f>IFERROR('WEEKLY INPUT'!L82/'WEEKLY INPUT'!F82*90,0)</f>
        <v/>
      </c>
      <c r="N82" s="5">
        <f>IFERROR('WEEKLY INPUT'!M82/'WEEKLY INPUT'!F82*90,0)</f>
        <v/>
      </c>
      <c r="O82" s="5">
        <f>IFERROR('WEEKLY INPUT'!N82/'WEEKLY INPUT'!F82*90,0)</f>
        <v/>
      </c>
      <c r="P82" s="5">
        <f>IFERROR('WEEKLY INPUT'!O82/'WEEKLY INPUT'!F82*90,0)</f>
        <v/>
      </c>
      <c r="Q82" s="5">
        <f>IFERROR(('WEEKLY INPUT'!J82*2+'WEEKLY INPUT'!K82*1+'WEEKLY INPUT'!O82*0.2)/'WEEKLY INPUT'!F82,0)</f>
        <v/>
      </c>
      <c r="R82" s="5">
        <f>MAX(0.25,MIN(1.15,(F82/540)*0.5+G82*0.5))</f>
        <v/>
      </c>
      <c r="S82" s="5">
        <f>MAX(0.70,MIN(1.10,0.85+0.15*G82))</f>
        <v/>
      </c>
      <c r="T82" s="5">
        <f>IF(A82="","",2*('WEEKLY INPUT'!P82/90)+(H82*5+I82*3)*('WEEKLY INPUT'!P82/90)+(P82*0.15)*('WEEKLY INPUT'!P82/90)+Q82*0.25)</f>
        <v/>
      </c>
      <c r="U82" s="5">
        <f>IF($A82="","",$T82*(1+($3-'WEEKLY INPUT'!R82)*0.10)*$R82*$S82*1.0)</f>
        <v/>
      </c>
      <c r="V82" s="5">
        <f>IF($A82="","",$T82*(1+($3-'WEEKLY INPUT'!S82)*0.10)*$R82*$S82*0.975)</f>
        <v/>
      </c>
      <c r="W82" s="5">
        <f>IF($A82="","",$T82*(1+($3-'WEEKLY INPUT'!T82)*0.10)*$R82*$S82*0.95)</f>
        <v/>
      </c>
      <c r="X82" s="5">
        <f>IF($A82="","",$T82*(1+($3-'WEEKLY INPUT'!U82)*0.10)*$R82*$S82*0.925)</f>
        <v/>
      </c>
      <c r="Y82" s="5">
        <f>IF($A82="","",$T82*(1+($3-'WEEKLY INPUT'!V82)*0.10)*$R82*$S82*0.9)</f>
        <v/>
      </c>
      <c r="Z82" s="5">
        <f>IF($A82="","",$T82*(1+($3-'WEEKLY INPUT'!W82)*0.10)*$R82*$S82*0.875)</f>
        <v/>
      </c>
      <c r="AA82" s="5">
        <f>IF($A82="","",$T82*(1+($3-'WEEKLY INPUT'!X82)*0.10)*$R82*$S82*0.85)</f>
        <v/>
      </c>
      <c r="AB82" s="5">
        <f>IF($A82="","",$T82*(1+($3-'WEEKLY INPUT'!Y82)*0.10)*$R82*$S82*0.825)</f>
        <v/>
      </c>
      <c r="AC82" s="5">
        <f>SUM(U82:AB82)</f>
        <v/>
      </c>
      <c r="AD82" s="5">
        <f>SUM(U82:Z82)</f>
        <v/>
      </c>
      <c r="AE82" s="5">
        <f>IFERROR(AD82/D82,0)</f>
        <v/>
      </c>
      <c r="AF82" s="5">
        <f>MAX(0,1-R82)</f>
        <v/>
      </c>
      <c r="AG82" s="5">
        <f>IFERROR((H82+I82)*R82*(1+0.10*(3-'WEEKLY INPUT'!R82)),"")</f>
        <v/>
      </c>
      <c r="AH82" s="5">
        <f>IFERROR(AG82/SUMPRODUCT($AG$6:$AG$205),"")</f>
        <v/>
      </c>
      <c r="AI82" s="5">
        <f>IFERROR(AD82*(1-AF82*0.5)*(1+0.15*AE82),0)</f>
        <v/>
      </c>
      <c r="AJ82" s="5">
        <f>IF(A82="","",RANK(AI82,$AI$6:$AI$205,0))</f>
        <v/>
      </c>
      <c r="AK82" s="5">
        <f>IFERROR('WEEKLY INPUT'!Z82,"")</f>
        <v/>
      </c>
    </row>
    <row r="83">
      <c r="A83" s="5">
        <f>IFERROR('WEEKLY INPUT'!A83,"")</f>
        <v/>
      </c>
      <c r="B83" s="5">
        <f>IFERROR('WEEKLY INPUT'!B83,"")</f>
        <v/>
      </c>
      <c r="C83" s="5">
        <f>IFERROR('WEEKLY INPUT'!C83,"")</f>
        <v/>
      </c>
      <c r="D83" s="5">
        <f>IFERROR('WEEKLY INPUT'!D83,0)</f>
        <v/>
      </c>
      <c r="E83" s="5">
        <f>IFERROR('WEEKLY INPUT'!E83,0)</f>
        <v/>
      </c>
      <c r="F83" s="5">
        <f>IFERROR('WEEKLY INPUT'!F83,0)</f>
        <v/>
      </c>
      <c r="G83" s="5">
        <f>IFERROR('WEEKLY INPUT'!Q83,0)</f>
        <v/>
      </c>
      <c r="H83" s="5">
        <f>IFERROR('WEEKLY INPUT'!H83/'WEEKLY INPUT'!F83*90,0)</f>
        <v/>
      </c>
      <c r="I83" s="5">
        <f>IFERROR('WEEKLY INPUT'!I83/'WEEKLY INPUT'!F83*90,0)</f>
        <v/>
      </c>
      <c r="J83" s="5">
        <f>H83+I83</f>
        <v/>
      </c>
      <c r="K83" s="5">
        <f>IFERROR('WEEKLY INPUT'!J83/'WEEKLY INPUT'!F83*90,0)</f>
        <v/>
      </c>
      <c r="L83" s="5">
        <f>IFERROR('WEEKLY INPUT'!K83/'WEEKLY INPUT'!F83*90,0)</f>
        <v/>
      </c>
      <c r="M83" s="5">
        <f>IFERROR('WEEKLY INPUT'!L83/'WEEKLY INPUT'!F83*90,0)</f>
        <v/>
      </c>
      <c r="N83" s="5">
        <f>IFERROR('WEEKLY INPUT'!M83/'WEEKLY INPUT'!F83*90,0)</f>
        <v/>
      </c>
      <c r="O83" s="5">
        <f>IFERROR('WEEKLY INPUT'!N83/'WEEKLY INPUT'!F83*90,0)</f>
        <v/>
      </c>
      <c r="P83" s="5">
        <f>IFERROR('WEEKLY INPUT'!O83/'WEEKLY INPUT'!F83*90,0)</f>
        <v/>
      </c>
      <c r="Q83" s="5">
        <f>IFERROR(('WEEKLY INPUT'!J83*2+'WEEKLY INPUT'!K83*1+'WEEKLY INPUT'!O83*0.2)/'WEEKLY INPUT'!F83,0)</f>
        <v/>
      </c>
      <c r="R83" s="5">
        <f>MAX(0.25,MIN(1.15,(F83/540)*0.5+G83*0.5))</f>
        <v/>
      </c>
      <c r="S83" s="5">
        <f>MAX(0.70,MIN(1.10,0.85+0.15*G83))</f>
        <v/>
      </c>
      <c r="T83" s="5">
        <f>IF(A83="","",2*('WEEKLY INPUT'!P83/90)+(H83*5+I83*3)*('WEEKLY INPUT'!P83/90)+(P83*0.15)*('WEEKLY INPUT'!P83/90)+Q83*0.25)</f>
        <v/>
      </c>
      <c r="U83" s="5">
        <f>IF($A83="","",$T83*(1+($3-'WEEKLY INPUT'!R83)*0.10)*$R83*$S83*1.0)</f>
        <v/>
      </c>
      <c r="V83" s="5">
        <f>IF($A83="","",$T83*(1+($3-'WEEKLY INPUT'!S83)*0.10)*$R83*$S83*0.975)</f>
        <v/>
      </c>
      <c r="W83" s="5">
        <f>IF($A83="","",$T83*(1+($3-'WEEKLY INPUT'!T83)*0.10)*$R83*$S83*0.95)</f>
        <v/>
      </c>
      <c r="X83" s="5">
        <f>IF($A83="","",$T83*(1+($3-'WEEKLY INPUT'!U83)*0.10)*$R83*$S83*0.925)</f>
        <v/>
      </c>
      <c r="Y83" s="5">
        <f>IF($A83="","",$T83*(1+($3-'WEEKLY INPUT'!V83)*0.10)*$R83*$S83*0.9)</f>
        <v/>
      </c>
      <c r="Z83" s="5">
        <f>IF($A83="","",$T83*(1+($3-'WEEKLY INPUT'!W83)*0.10)*$R83*$S83*0.875)</f>
        <v/>
      </c>
      <c r="AA83" s="5">
        <f>IF($A83="","",$T83*(1+($3-'WEEKLY INPUT'!X83)*0.10)*$R83*$S83*0.85)</f>
        <v/>
      </c>
      <c r="AB83" s="5">
        <f>IF($A83="","",$T83*(1+($3-'WEEKLY INPUT'!Y83)*0.10)*$R83*$S83*0.825)</f>
        <v/>
      </c>
      <c r="AC83" s="5">
        <f>SUM(U83:AB83)</f>
        <v/>
      </c>
      <c r="AD83" s="5">
        <f>SUM(U83:Z83)</f>
        <v/>
      </c>
      <c r="AE83" s="5">
        <f>IFERROR(AD83/D83,0)</f>
        <v/>
      </c>
      <c r="AF83" s="5">
        <f>MAX(0,1-R83)</f>
        <v/>
      </c>
      <c r="AG83" s="5">
        <f>IFERROR((H83+I83)*R83*(1+0.10*(3-'WEEKLY INPUT'!R83)),"")</f>
        <v/>
      </c>
      <c r="AH83" s="5">
        <f>IFERROR(AG83/SUMPRODUCT($AG$6:$AG$205),"")</f>
        <v/>
      </c>
      <c r="AI83" s="5">
        <f>IFERROR(AD83*(1-AF83*0.5)*(1+0.15*AE83),0)</f>
        <v/>
      </c>
      <c r="AJ83" s="5">
        <f>IF(A83="","",RANK(AI83,$AI$6:$AI$205,0))</f>
        <v/>
      </c>
      <c r="AK83" s="5">
        <f>IFERROR('WEEKLY INPUT'!Z83,"")</f>
        <v/>
      </c>
    </row>
    <row r="84">
      <c r="A84" s="5">
        <f>IFERROR('WEEKLY INPUT'!A84,"")</f>
        <v/>
      </c>
      <c r="B84" s="5">
        <f>IFERROR('WEEKLY INPUT'!B84,"")</f>
        <v/>
      </c>
      <c r="C84" s="5">
        <f>IFERROR('WEEKLY INPUT'!C84,"")</f>
        <v/>
      </c>
      <c r="D84" s="5">
        <f>IFERROR('WEEKLY INPUT'!D84,0)</f>
        <v/>
      </c>
      <c r="E84" s="5">
        <f>IFERROR('WEEKLY INPUT'!E84,0)</f>
        <v/>
      </c>
      <c r="F84" s="5">
        <f>IFERROR('WEEKLY INPUT'!F84,0)</f>
        <v/>
      </c>
      <c r="G84" s="5">
        <f>IFERROR('WEEKLY INPUT'!Q84,0)</f>
        <v/>
      </c>
      <c r="H84" s="5">
        <f>IFERROR('WEEKLY INPUT'!H84/'WEEKLY INPUT'!F84*90,0)</f>
        <v/>
      </c>
      <c r="I84" s="5">
        <f>IFERROR('WEEKLY INPUT'!I84/'WEEKLY INPUT'!F84*90,0)</f>
        <v/>
      </c>
      <c r="J84" s="5">
        <f>H84+I84</f>
        <v/>
      </c>
      <c r="K84" s="5">
        <f>IFERROR('WEEKLY INPUT'!J84/'WEEKLY INPUT'!F84*90,0)</f>
        <v/>
      </c>
      <c r="L84" s="5">
        <f>IFERROR('WEEKLY INPUT'!K84/'WEEKLY INPUT'!F84*90,0)</f>
        <v/>
      </c>
      <c r="M84" s="5">
        <f>IFERROR('WEEKLY INPUT'!L84/'WEEKLY INPUT'!F84*90,0)</f>
        <v/>
      </c>
      <c r="N84" s="5">
        <f>IFERROR('WEEKLY INPUT'!M84/'WEEKLY INPUT'!F84*90,0)</f>
        <v/>
      </c>
      <c r="O84" s="5">
        <f>IFERROR('WEEKLY INPUT'!N84/'WEEKLY INPUT'!F84*90,0)</f>
        <v/>
      </c>
      <c r="P84" s="5">
        <f>IFERROR('WEEKLY INPUT'!O84/'WEEKLY INPUT'!F84*90,0)</f>
        <v/>
      </c>
      <c r="Q84" s="5">
        <f>IFERROR(('WEEKLY INPUT'!J84*2+'WEEKLY INPUT'!K84*1+'WEEKLY INPUT'!O84*0.2)/'WEEKLY INPUT'!F84,0)</f>
        <v/>
      </c>
      <c r="R84" s="5">
        <f>MAX(0.25,MIN(1.15,(F84/540)*0.5+G84*0.5))</f>
        <v/>
      </c>
      <c r="S84" s="5">
        <f>MAX(0.70,MIN(1.10,0.85+0.15*G84))</f>
        <v/>
      </c>
      <c r="T84" s="5">
        <f>IF(A84="","",2*('WEEKLY INPUT'!P84/90)+(H84*5+I84*3)*('WEEKLY INPUT'!P84/90)+(P84*0.15)*('WEEKLY INPUT'!P84/90)+Q84*0.25)</f>
        <v/>
      </c>
      <c r="U84" s="5">
        <f>IF($A84="","",$T84*(1+($3-'WEEKLY INPUT'!R84)*0.10)*$R84*$S84*1.0)</f>
        <v/>
      </c>
      <c r="V84" s="5">
        <f>IF($A84="","",$T84*(1+($3-'WEEKLY INPUT'!S84)*0.10)*$R84*$S84*0.975)</f>
        <v/>
      </c>
      <c r="W84" s="5">
        <f>IF($A84="","",$T84*(1+($3-'WEEKLY INPUT'!T84)*0.10)*$R84*$S84*0.95)</f>
        <v/>
      </c>
      <c r="X84" s="5">
        <f>IF($A84="","",$T84*(1+($3-'WEEKLY INPUT'!U84)*0.10)*$R84*$S84*0.925)</f>
        <v/>
      </c>
      <c r="Y84" s="5">
        <f>IF($A84="","",$T84*(1+($3-'WEEKLY INPUT'!V84)*0.10)*$R84*$S84*0.9)</f>
        <v/>
      </c>
      <c r="Z84" s="5">
        <f>IF($A84="","",$T84*(1+($3-'WEEKLY INPUT'!W84)*0.10)*$R84*$S84*0.875)</f>
        <v/>
      </c>
      <c r="AA84" s="5">
        <f>IF($A84="","",$T84*(1+($3-'WEEKLY INPUT'!X84)*0.10)*$R84*$S84*0.85)</f>
        <v/>
      </c>
      <c r="AB84" s="5">
        <f>IF($A84="","",$T84*(1+($3-'WEEKLY INPUT'!Y84)*0.10)*$R84*$S84*0.825)</f>
        <v/>
      </c>
      <c r="AC84" s="5">
        <f>SUM(U84:AB84)</f>
        <v/>
      </c>
      <c r="AD84" s="5">
        <f>SUM(U84:Z84)</f>
        <v/>
      </c>
      <c r="AE84" s="5">
        <f>IFERROR(AD84/D84,0)</f>
        <v/>
      </c>
      <c r="AF84" s="5">
        <f>MAX(0,1-R84)</f>
        <v/>
      </c>
      <c r="AG84" s="5">
        <f>IFERROR((H84+I84)*R84*(1+0.10*(3-'WEEKLY INPUT'!R84)),"")</f>
        <v/>
      </c>
      <c r="AH84" s="5">
        <f>IFERROR(AG84/SUMPRODUCT($AG$6:$AG$205),"")</f>
        <v/>
      </c>
      <c r="AI84" s="5">
        <f>IFERROR(AD84*(1-AF84*0.5)*(1+0.15*AE84),0)</f>
        <v/>
      </c>
      <c r="AJ84" s="5">
        <f>IF(A84="","",RANK(AI84,$AI$6:$AI$205,0))</f>
        <v/>
      </c>
      <c r="AK84" s="5">
        <f>IFERROR('WEEKLY INPUT'!Z84,"")</f>
        <v/>
      </c>
    </row>
    <row r="85">
      <c r="A85" s="5">
        <f>IFERROR('WEEKLY INPUT'!A85,"")</f>
        <v/>
      </c>
      <c r="B85" s="5">
        <f>IFERROR('WEEKLY INPUT'!B85,"")</f>
        <v/>
      </c>
      <c r="C85" s="5">
        <f>IFERROR('WEEKLY INPUT'!C85,"")</f>
        <v/>
      </c>
      <c r="D85" s="5">
        <f>IFERROR('WEEKLY INPUT'!D85,0)</f>
        <v/>
      </c>
      <c r="E85" s="5">
        <f>IFERROR('WEEKLY INPUT'!E85,0)</f>
        <v/>
      </c>
      <c r="F85" s="5">
        <f>IFERROR('WEEKLY INPUT'!F85,0)</f>
        <v/>
      </c>
      <c r="G85" s="5">
        <f>IFERROR('WEEKLY INPUT'!Q85,0)</f>
        <v/>
      </c>
      <c r="H85" s="5">
        <f>IFERROR('WEEKLY INPUT'!H85/'WEEKLY INPUT'!F85*90,0)</f>
        <v/>
      </c>
      <c r="I85" s="5">
        <f>IFERROR('WEEKLY INPUT'!I85/'WEEKLY INPUT'!F85*90,0)</f>
        <v/>
      </c>
      <c r="J85" s="5">
        <f>H85+I85</f>
        <v/>
      </c>
      <c r="K85" s="5">
        <f>IFERROR('WEEKLY INPUT'!J85/'WEEKLY INPUT'!F85*90,0)</f>
        <v/>
      </c>
      <c r="L85" s="5">
        <f>IFERROR('WEEKLY INPUT'!K85/'WEEKLY INPUT'!F85*90,0)</f>
        <v/>
      </c>
      <c r="M85" s="5">
        <f>IFERROR('WEEKLY INPUT'!L85/'WEEKLY INPUT'!F85*90,0)</f>
        <v/>
      </c>
      <c r="N85" s="5">
        <f>IFERROR('WEEKLY INPUT'!M85/'WEEKLY INPUT'!F85*90,0)</f>
        <v/>
      </c>
      <c r="O85" s="5">
        <f>IFERROR('WEEKLY INPUT'!N85/'WEEKLY INPUT'!F85*90,0)</f>
        <v/>
      </c>
      <c r="P85" s="5">
        <f>IFERROR('WEEKLY INPUT'!O85/'WEEKLY INPUT'!F85*90,0)</f>
        <v/>
      </c>
      <c r="Q85" s="5">
        <f>IFERROR(('WEEKLY INPUT'!J85*2+'WEEKLY INPUT'!K85*1+'WEEKLY INPUT'!O85*0.2)/'WEEKLY INPUT'!F85,0)</f>
        <v/>
      </c>
      <c r="R85" s="5">
        <f>MAX(0.25,MIN(1.15,(F85/540)*0.5+G85*0.5))</f>
        <v/>
      </c>
      <c r="S85" s="5">
        <f>MAX(0.70,MIN(1.10,0.85+0.15*G85))</f>
        <v/>
      </c>
      <c r="T85" s="5">
        <f>IF(A85="","",2*('WEEKLY INPUT'!P85/90)+(H85*5+I85*3)*('WEEKLY INPUT'!P85/90)+(P85*0.15)*('WEEKLY INPUT'!P85/90)+Q85*0.25)</f>
        <v/>
      </c>
      <c r="U85" s="5">
        <f>IF($A85="","",$T85*(1+($3-'WEEKLY INPUT'!R85)*0.10)*$R85*$S85*1.0)</f>
        <v/>
      </c>
      <c r="V85" s="5">
        <f>IF($A85="","",$T85*(1+($3-'WEEKLY INPUT'!S85)*0.10)*$R85*$S85*0.975)</f>
        <v/>
      </c>
      <c r="W85" s="5">
        <f>IF($A85="","",$T85*(1+($3-'WEEKLY INPUT'!T85)*0.10)*$R85*$S85*0.95)</f>
        <v/>
      </c>
      <c r="X85" s="5">
        <f>IF($A85="","",$T85*(1+($3-'WEEKLY INPUT'!U85)*0.10)*$R85*$S85*0.925)</f>
        <v/>
      </c>
      <c r="Y85" s="5">
        <f>IF($A85="","",$T85*(1+($3-'WEEKLY INPUT'!V85)*0.10)*$R85*$S85*0.9)</f>
        <v/>
      </c>
      <c r="Z85" s="5">
        <f>IF($A85="","",$T85*(1+($3-'WEEKLY INPUT'!W85)*0.10)*$R85*$S85*0.875)</f>
        <v/>
      </c>
      <c r="AA85" s="5">
        <f>IF($A85="","",$T85*(1+($3-'WEEKLY INPUT'!X85)*0.10)*$R85*$S85*0.85)</f>
        <v/>
      </c>
      <c r="AB85" s="5">
        <f>IF($A85="","",$T85*(1+($3-'WEEKLY INPUT'!Y85)*0.10)*$R85*$S85*0.825)</f>
        <v/>
      </c>
      <c r="AC85" s="5">
        <f>SUM(U85:AB85)</f>
        <v/>
      </c>
      <c r="AD85" s="5">
        <f>SUM(U85:Z85)</f>
        <v/>
      </c>
      <c r="AE85" s="5">
        <f>IFERROR(AD85/D85,0)</f>
        <v/>
      </c>
      <c r="AF85" s="5">
        <f>MAX(0,1-R85)</f>
        <v/>
      </c>
      <c r="AG85" s="5">
        <f>IFERROR((H85+I85)*R85*(1+0.10*(3-'WEEKLY INPUT'!R85)),"")</f>
        <v/>
      </c>
      <c r="AH85" s="5">
        <f>IFERROR(AG85/SUMPRODUCT($AG$6:$AG$205),"")</f>
        <v/>
      </c>
      <c r="AI85" s="5">
        <f>IFERROR(AD85*(1-AF85*0.5)*(1+0.15*AE85),0)</f>
        <v/>
      </c>
      <c r="AJ85" s="5">
        <f>IF(A85="","",RANK(AI85,$AI$6:$AI$205,0))</f>
        <v/>
      </c>
      <c r="AK85" s="5">
        <f>IFERROR('WEEKLY INPUT'!Z85,"")</f>
        <v/>
      </c>
    </row>
    <row r="86">
      <c r="A86" s="5">
        <f>IFERROR('WEEKLY INPUT'!A86,"")</f>
        <v/>
      </c>
      <c r="B86" s="5">
        <f>IFERROR('WEEKLY INPUT'!B86,"")</f>
        <v/>
      </c>
      <c r="C86" s="5">
        <f>IFERROR('WEEKLY INPUT'!C86,"")</f>
        <v/>
      </c>
      <c r="D86" s="5">
        <f>IFERROR('WEEKLY INPUT'!D86,0)</f>
        <v/>
      </c>
      <c r="E86" s="5">
        <f>IFERROR('WEEKLY INPUT'!E86,0)</f>
        <v/>
      </c>
      <c r="F86" s="5">
        <f>IFERROR('WEEKLY INPUT'!F86,0)</f>
        <v/>
      </c>
      <c r="G86" s="5">
        <f>IFERROR('WEEKLY INPUT'!Q86,0)</f>
        <v/>
      </c>
      <c r="H86" s="5">
        <f>IFERROR('WEEKLY INPUT'!H86/'WEEKLY INPUT'!F86*90,0)</f>
        <v/>
      </c>
      <c r="I86" s="5">
        <f>IFERROR('WEEKLY INPUT'!I86/'WEEKLY INPUT'!F86*90,0)</f>
        <v/>
      </c>
      <c r="J86" s="5">
        <f>H86+I86</f>
        <v/>
      </c>
      <c r="K86" s="5">
        <f>IFERROR('WEEKLY INPUT'!J86/'WEEKLY INPUT'!F86*90,0)</f>
        <v/>
      </c>
      <c r="L86" s="5">
        <f>IFERROR('WEEKLY INPUT'!K86/'WEEKLY INPUT'!F86*90,0)</f>
        <v/>
      </c>
      <c r="M86" s="5">
        <f>IFERROR('WEEKLY INPUT'!L86/'WEEKLY INPUT'!F86*90,0)</f>
        <v/>
      </c>
      <c r="N86" s="5">
        <f>IFERROR('WEEKLY INPUT'!M86/'WEEKLY INPUT'!F86*90,0)</f>
        <v/>
      </c>
      <c r="O86" s="5">
        <f>IFERROR('WEEKLY INPUT'!N86/'WEEKLY INPUT'!F86*90,0)</f>
        <v/>
      </c>
      <c r="P86" s="5">
        <f>IFERROR('WEEKLY INPUT'!O86/'WEEKLY INPUT'!F86*90,0)</f>
        <v/>
      </c>
      <c r="Q86" s="5">
        <f>IFERROR(('WEEKLY INPUT'!J86*2+'WEEKLY INPUT'!K86*1+'WEEKLY INPUT'!O86*0.2)/'WEEKLY INPUT'!F86,0)</f>
        <v/>
      </c>
      <c r="R86" s="5">
        <f>MAX(0.25,MIN(1.15,(F86/540)*0.5+G86*0.5))</f>
        <v/>
      </c>
      <c r="S86" s="5">
        <f>MAX(0.70,MIN(1.10,0.85+0.15*G86))</f>
        <v/>
      </c>
      <c r="T86" s="5">
        <f>IF(A86="","",2*('WEEKLY INPUT'!P86/90)+(H86*5+I86*3)*('WEEKLY INPUT'!P86/90)+(P86*0.15)*('WEEKLY INPUT'!P86/90)+Q86*0.25)</f>
        <v/>
      </c>
      <c r="U86" s="5">
        <f>IF($A86="","",$T86*(1+($3-'WEEKLY INPUT'!R86)*0.10)*$R86*$S86*1.0)</f>
        <v/>
      </c>
      <c r="V86" s="5">
        <f>IF($A86="","",$T86*(1+($3-'WEEKLY INPUT'!S86)*0.10)*$R86*$S86*0.975)</f>
        <v/>
      </c>
      <c r="W86" s="5">
        <f>IF($A86="","",$T86*(1+($3-'WEEKLY INPUT'!T86)*0.10)*$R86*$S86*0.95)</f>
        <v/>
      </c>
      <c r="X86" s="5">
        <f>IF($A86="","",$T86*(1+($3-'WEEKLY INPUT'!U86)*0.10)*$R86*$S86*0.925)</f>
        <v/>
      </c>
      <c r="Y86" s="5">
        <f>IF($A86="","",$T86*(1+($3-'WEEKLY INPUT'!V86)*0.10)*$R86*$S86*0.9)</f>
        <v/>
      </c>
      <c r="Z86" s="5">
        <f>IF($A86="","",$T86*(1+($3-'WEEKLY INPUT'!W86)*0.10)*$R86*$S86*0.875)</f>
        <v/>
      </c>
      <c r="AA86" s="5">
        <f>IF($A86="","",$T86*(1+($3-'WEEKLY INPUT'!X86)*0.10)*$R86*$S86*0.85)</f>
        <v/>
      </c>
      <c r="AB86" s="5">
        <f>IF($A86="","",$T86*(1+($3-'WEEKLY INPUT'!Y86)*0.10)*$R86*$S86*0.825)</f>
        <v/>
      </c>
      <c r="AC86" s="5">
        <f>SUM(U86:AB86)</f>
        <v/>
      </c>
      <c r="AD86" s="5">
        <f>SUM(U86:Z86)</f>
        <v/>
      </c>
      <c r="AE86" s="5">
        <f>IFERROR(AD86/D86,0)</f>
        <v/>
      </c>
      <c r="AF86" s="5">
        <f>MAX(0,1-R86)</f>
        <v/>
      </c>
      <c r="AG86" s="5">
        <f>IFERROR((H86+I86)*R86*(1+0.10*(3-'WEEKLY INPUT'!R86)),"")</f>
        <v/>
      </c>
      <c r="AH86" s="5">
        <f>IFERROR(AG86/SUMPRODUCT($AG$6:$AG$205),"")</f>
        <v/>
      </c>
      <c r="AI86" s="5">
        <f>IFERROR(AD86*(1-AF86*0.5)*(1+0.15*AE86),0)</f>
        <v/>
      </c>
      <c r="AJ86" s="5">
        <f>IF(A86="","",RANK(AI86,$AI$6:$AI$205,0))</f>
        <v/>
      </c>
      <c r="AK86" s="5">
        <f>IFERROR('WEEKLY INPUT'!Z86,"")</f>
        <v/>
      </c>
    </row>
    <row r="87">
      <c r="A87" s="5">
        <f>IFERROR('WEEKLY INPUT'!A87,"")</f>
        <v/>
      </c>
      <c r="B87" s="5">
        <f>IFERROR('WEEKLY INPUT'!B87,"")</f>
        <v/>
      </c>
      <c r="C87" s="5">
        <f>IFERROR('WEEKLY INPUT'!C87,"")</f>
        <v/>
      </c>
      <c r="D87" s="5">
        <f>IFERROR('WEEKLY INPUT'!D87,0)</f>
        <v/>
      </c>
      <c r="E87" s="5">
        <f>IFERROR('WEEKLY INPUT'!E87,0)</f>
        <v/>
      </c>
      <c r="F87" s="5">
        <f>IFERROR('WEEKLY INPUT'!F87,0)</f>
        <v/>
      </c>
      <c r="G87" s="5">
        <f>IFERROR('WEEKLY INPUT'!Q87,0)</f>
        <v/>
      </c>
      <c r="H87" s="5">
        <f>IFERROR('WEEKLY INPUT'!H87/'WEEKLY INPUT'!F87*90,0)</f>
        <v/>
      </c>
      <c r="I87" s="5">
        <f>IFERROR('WEEKLY INPUT'!I87/'WEEKLY INPUT'!F87*90,0)</f>
        <v/>
      </c>
      <c r="J87" s="5">
        <f>H87+I87</f>
        <v/>
      </c>
      <c r="K87" s="5">
        <f>IFERROR('WEEKLY INPUT'!J87/'WEEKLY INPUT'!F87*90,0)</f>
        <v/>
      </c>
      <c r="L87" s="5">
        <f>IFERROR('WEEKLY INPUT'!K87/'WEEKLY INPUT'!F87*90,0)</f>
        <v/>
      </c>
      <c r="M87" s="5">
        <f>IFERROR('WEEKLY INPUT'!L87/'WEEKLY INPUT'!F87*90,0)</f>
        <v/>
      </c>
      <c r="N87" s="5">
        <f>IFERROR('WEEKLY INPUT'!M87/'WEEKLY INPUT'!F87*90,0)</f>
        <v/>
      </c>
      <c r="O87" s="5">
        <f>IFERROR('WEEKLY INPUT'!N87/'WEEKLY INPUT'!F87*90,0)</f>
        <v/>
      </c>
      <c r="P87" s="5">
        <f>IFERROR('WEEKLY INPUT'!O87/'WEEKLY INPUT'!F87*90,0)</f>
        <v/>
      </c>
      <c r="Q87" s="5">
        <f>IFERROR(('WEEKLY INPUT'!J87*2+'WEEKLY INPUT'!K87*1+'WEEKLY INPUT'!O87*0.2)/'WEEKLY INPUT'!F87,0)</f>
        <v/>
      </c>
      <c r="R87" s="5">
        <f>MAX(0.25,MIN(1.15,(F87/540)*0.5+G87*0.5))</f>
        <v/>
      </c>
      <c r="S87" s="5">
        <f>MAX(0.70,MIN(1.10,0.85+0.15*G87))</f>
        <v/>
      </c>
      <c r="T87" s="5">
        <f>IF(A87="","",2*('WEEKLY INPUT'!P87/90)+(H87*5+I87*3)*('WEEKLY INPUT'!P87/90)+(P87*0.15)*('WEEKLY INPUT'!P87/90)+Q87*0.25)</f>
        <v/>
      </c>
      <c r="U87" s="5">
        <f>IF($A87="","",$T87*(1+($3-'WEEKLY INPUT'!R87)*0.10)*$R87*$S87*1.0)</f>
        <v/>
      </c>
      <c r="V87" s="5">
        <f>IF($A87="","",$T87*(1+($3-'WEEKLY INPUT'!S87)*0.10)*$R87*$S87*0.975)</f>
        <v/>
      </c>
      <c r="W87" s="5">
        <f>IF($A87="","",$T87*(1+($3-'WEEKLY INPUT'!T87)*0.10)*$R87*$S87*0.95)</f>
        <v/>
      </c>
      <c r="X87" s="5">
        <f>IF($A87="","",$T87*(1+($3-'WEEKLY INPUT'!U87)*0.10)*$R87*$S87*0.925)</f>
        <v/>
      </c>
      <c r="Y87" s="5">
        <f>IF($A87="","",$T87*(1+($3-'WEEKLY INPUT'!V87)*0.10)*$R87*$S87*0.9)</f>
        <v/>
      </c>
      <c r="Z87" s="5">
        <f>IF($A87="","",$T87*(1+($3-'WEEKLY INPUT'!W87)*0.10)*$R87*$S87*0.875)</f>
        <v/>
      </c>
      <c r="AA87" s="5">
        <f>IF($A87="","",$T87*(1+($3-'WEEKLY INPUT'!X87)*0.10)*$R87*$S87*0.85)</f>
        <v/>
      </c>
      <c r="AB87" s="5">
        <f>IF($A87="","",$T87*(1+($3-'WEEKLY INPUT'!Y87)*0.10)*$R87*$S87*0.825)</f>
        <v/>
      </c>
      <c r="AC87" s="5">
        <f>SUM(U87:AB87)</f>
        <v/>
      </c>
      <c r="AD87" s="5">
        <f>SUM(U87:Z87)</f>
        <v/>
      </c>
      <c r="AE87" s="5">
        <f>IFERROR(AD87/D87,0)</f>
        <v/>
      </c>
      <c r="AF87" s="5">
        <f>MAX(0,1-R87)</f>
        <v/>
      </c>
      <c r="AG87" s="5">
        <f>IFERROR((H87+I87)*R87*(1+0.10*(3-'WEEKLY INPUT'!R87)),"")</f>
        <v/>
      </c>
      <c r="AH87" s="5">
        <f>IFERROR(AG87/SUMPRODUCT($AG$6:$AG$205),"")</f>
        <v/>
      </c>
      <c r="AI87" s="5">
        <f>IFERROR(AD87*(1-AF87*0.5)*(1+0.15*AE87),0)</f>
        <v/>
      </c>
      <c r="AJ87" s="5">
        <f>IF(A87="","",RANK(AI87,$AI$6:$AI$205,0))</f>
        <v/>
      </c>
      <c r="AK87" s="5">
        <f>IFERROR('WEEKLY INPUT'!Z87,"")</f>
        <v/>
      </c>
    </row>
    <row r="88">
      <c r="A88" s="5">
        <f>IFERROR('WEEKLY INPUT'!A88,"")</f>
        <v/>
      </c>
      <c r="B88" s="5">
        <f>IFERROR('WEEKLY INPUT'!B88,"")</f>
        <v/>
      </c>
      <c r="C88" s="5">
        <f>IFERROR('WEEKLY INPUT'!C88,"")</f>
        <v/>
      </c>
      <c r="D88" s="5">
        <f>IFERROR('WEEKLY INPUT'!D88,0)</f>
        <v/>
      </c>
      <c r="E88" s="5">
        <f>IFERROR('WEEKLY INPUT'!E88,0)</f>
        <v/>
      </c>
      <c r="F88" s="5">
        <f>IFERROR('WEEKLY INPUT'!F88,0)</f>
        <v/>
      </c>
      <c r="G88" s="5">
        <f>IFERROR('WEEKLY INPUT'!Q88,0)</f>
        <v/>
      </c>
      <c r="H88" s="5">
        <f>IFERROR('WEEKLY INPUT'!H88/'WEEKLY INPUT'!F88*90,0)</f>
        <v/>
      </c>
      <c r="I88" s="5">
        <f>IFERROR('WEEKLY INPUT'!I88/'WEEKLY INPUT'!F88*90,0)</f>
        <v/>
      </c>
      <c r="J88" s="5">
        <f>H88+I88</f>
        <v/>
      </c>
      <c r="K88" s="5">
        <f>IFERROR('WEEKLY INPUT'!J88/'WEEKLY INPUT'!F88*90,0)</f>
        <v/>
      </c>
      <c r="L88" s="5">
        <f>IFERROR('WEEKLY INPUT'!K88/'WEEKLY INPUT'!F88*90,0)</f>
        <v/>
      </c>
      <c r="M88" s="5">
        <f>IFERROR('WEEKLY INPUT'!L88/'WEEKLY INPUT'!F88*90,0)</f>
        <v/>
      </c>
      <c r="N88" s="5">
        <f>IFERROR('WEEKLY INPUT'!M88/'WEEKLY INPUT'!F88*90,0)</f>
        <v/>
      </c>
      <c r="O88" s="5">
        <f>IFERROR('WEEKLY INPUT'!N88/'WEEKLY INPUT'!F88*90,0)</f>
        <v/>
      </c>
      <c r="P88" s="5">
        <f>IFERROR('WEEKLY INPUT'!O88/'WEEKLY INPUT'!F88*90,0)</f>
        <v/>
      </c>
      <c r="Q88" s="5">
        <f>IFERROR(('WEEKLY INPUT'!J88*2+'WEEKLY INPUT'!K88*1+'WEEKLY INPUT'!O88*0.2)/'WEEKLY INPUT'!F88,0)</f>
        <v/>
      </c>
      <c r="R88" s="5">
        <f>MAX(0.25,MIN(1.15,(F88/540)*0.5+G88*0.5))</f>
        <v/>
      </c>
      <c r="S88" s="5">
        <f>MAX(0.70,MIN(1.10,0.85+0.15*G88))</f>
        <v/>
      </c>
      <c r="T88" s="5">
        <f>IF(A88="","",2*('WEEKLY INPUT'!P88/90)+(H88*5+I88*3)*('WEEKLY INPUT'!P88/90)+(P88*0.15)*('WEEKLY INPUT'!P88/90)+Q88*0.25)</f>
        <v/>
      </c>
      <c r="U88" s="5">
        <f>IF($A88="","",$T88*(1+($3-'WEEKLY INPUT'!R88)*0.10)*$R88*$S88*1.0)</f>
        <v/>
      </c>
      <c r="V88" s="5">
        <f>IF($A88="","",$T88*(1+($3-'WEEKLY INPUT'!S88)*0.10)*$R88*$S88*0.975)</f>
        <v/>
      </c>
      <c r="W88" s="5">
        <f>IF($A88="","",$T88*(1+($3-'WEEKLY INPUT'!T88)*0.10)*$R88*$S88*0.95)</f>
        <v/>
      </c>
      <c r="X88" s="5">
        <f>IF($A88="","",$T88*(1+($3-'WEEKLY INPUT'!U88)*0.10)*$R88*$S88*0.925)</f>
        <v/>
      </c>
      <c r="Y88" s="5">
        <f>IF($A88="","",$T88*(1+($3-'WEEKLY INPUT'!V88)*0.10)*$R88*$S88*0.9)</f>
        <v/>
      </c>
      <c r="Z88" s="5">
        <f>IF($A88="","",$T88*(1+($3-'WEEKLY INPUT'!W88)*0.10)*$R88*$S88*0.875)</f>
        <v/>
      </c>
      <c r="AA88" s="5">
        <f>IF($A88="","",$T88*(1+($3-'WEEKLY INPUT'!X88)*0.10)*$R88*$S88*0.85)</f>
        <v/>
      </c>
      <c r="AB88" s="5">
        <f>IF($A88="","",$T88*(1+($3-'WEEKLY INPUT'!Y88)*0.10)*$R88*$S88*0.825)</f>
        <v/>
      </c>
      <c r="AC88" s="5">
        <f>SUM(U88:AB88)</f>
        <v/>
      </c>
      <c r="AD88" s="5">
        <f>SUM(U88:Z88)</f>
        <v/>
      </c>
      <c r="AE88" s="5">
        <f>IFERROR(AD88/D88,0)</f>
        <v/>
      </c>
      <c r="AF88" s="5">
        <f>MAX(0,1-R88)</f>
        <v/>
      </c>
      <c r="AG88" s="5">
        <f>IFERROR((H88+I88)*R88*(1+0.10*(3-'WEEKLY INPUT'!R88)),"")</f>
        <v/>
      </c>
      <c r="AH88" s="5">
        <f>IFERROR(AG88/SUMPRODUCT($AG$6:$AG$205),"")</f>
        <v/>
      </c>
      <c r="AI88" s="5">
        <f>IFERROR(AD88*(1-AF88*0.5)*(1+0.15*AE88),0)</f>
        <v/>
      </c>
      <c r="AJ88" s="5">
        <f>IF(A88="","",RANK(AI88,$AI$6:$AI$205,0))</f>
        <v/>
      </c>
      <c r="AK88" s="5">
        <f>IFERROR('WEEKLY INPUT'!Z88,"")</f>
        <v/>
      </c>
    </row>
    <row r="89">
      <c r="A89" s="5">
        <f>IFERROR('WEEKLY INPUT'!A89,"")</f>
        <v/>
      </c>
      <c r="B89" s="5">
        <f>IFERROR('WEEKLY INPUT'!B89,"")</f>
        <v/>
      </c>
      <c r="C89" s="5">
        <f>IFERROR('WEEKLY INPUT'!C89,"")</f>
        <v/>
      </c>
      <c r="D89" s="5">
        <f>IFERROR('WEEKLY INPUT'!D89,0)</f>
        <v/>
      </c>
      <c r="E89" s="5">
        <f>IFERROR('WEEKLY INPUT'!E89,0)</f>
        <v/>
      </c>
      <c r="F89" s="5">
        <f>IFERROR('WEEKLY INPUT'!F89,0)</f>
        <v/>
      </c>
      <c r="G89" s="5">
        <f>IFERROR('WEEKLY INPUT'!Q89,0)</f>
        <v/>
      </c>
      <c r="H89" s="5">
        <f>IFERROR('WEEKLY INPUT'!H89/'WEEKLY INPUT'!F89*90,0)</f>
        <v/>
      </c>
      <c r="I89" s="5">
        <f>IFERROR('WEEKLY INPUT'!I89/'WEEKLY INPUT'!F89*90,0)</f>
        <v/>
      </c>
      <c r="J89" s="5">
        <f>H89+I89</f>
        <v/>
      </c>
      <c r="K89" s="5">
        <f>IFERROR('WEEKLY INPUT'!J89/'WEEKLY INPUT'!F89*90,0)</f>
        <v/>
      </c>
      <c r="L89" s="5">
        <f>IFERROR('WEEKLY INPUT'!K89/'WEEKLY INPUT'!F89*90,0)</f>
        <v/>
      </c>
      <c r="M89" s="5">
        <f>IFERROR('WEEKLY INPUT'!L89/'WEEKLY INPUT'!F89*90,0)</f>
        <v/>
      </c>
      <c r="N89" s="5">
        <f>IFERROR('WEEKLY INPUT'!M89/'WEEKLY INPUT'!F89*90,0)</f>
        <v/>
      </c>
      <c r="O89" s="5">
        <f>IFERROR('WEEKLY INPUT'!N89/'WEEKLY INPUT'!F89*90,0)</f>
        <v/>
      </c>
      <c r="P89" s="5">
        <f>IFERROR('WEEKLY INPUT'!O89/'WEEKLY INPUT'!F89*90,0)</f>
        <v/>
      </c>
      <c r="Q89" s="5">
        <f>IFERROR(('WEEKLY INPUT'!J89*2+'WEEKLY INPUT'!K89*1+'WEEKLY INPUT'!O89*0.2)/'WEEKLY INPUT'!F89,0)</f>
        <v/>
      </c>
      <c r="R89" s="5">
        <f>MAX(0.25,MIN(1.15,(F89/540)*0.5+G89*0.5))</f>
        <v/>
      </c>
      <c r="S89" s="5">
        <f>MAX(0.70,MIN(1.10,0.85+0.15*G89))</f>
        <v/>
      </c>
      <c r="T89" s="5">
        <f>IF(A89="","",2*('WEEKLY INPUT'!P89/90)+(H89*5+I89*3)*('WEEKLY INPUT'!P89/90)+(P89*0.15)*('WEEKLY INPUT'!P89/90)+Q89*0.25)</f>
        <v/>
      </c>
      <c r="U89" s="5">
        <f>IF($A89="","",$T89*(1+($3-'WEEKLY INPUT'!R89)*0.10)*$R89*$S89*1.0)</f>
        <v/>
      </c>
      <c r="V89" s="5">
        <f>IF($A89="","",$T89*(1+($3-'WEEKLY INPUT'!S89)*0.10)*$R89*$S89*0.975)</f>
        <v/>
      </c>
      <c r="W89" s="5">
        <f>IF($A89="","",$T89*(1+($3-'WEEKLY INPUT'!T89)*0.10)*$R89*$S89*0.95)</f>
        <v/>
      </c>
      <c r="X89" s="5">
        <f>IF($A89="","",$T89*(1+($3-'WEEKLY INPUT'!U89)*0.10)*$R89*$S89*0.925)</f>
        <v/>
      </c>
      <c r="Y89" s="5">
        <f>IF($A89="","",$T89*(1+($3-'WEEKLY INPUT'!V89)*0.10)*$R89*$S89*0.9)</f>
        <v/>
      </c>
      <c r="Z89" s="5">
        <f>IF($A89="","",$T89*(1+($3-'WEEKLY INPUT'!W89)*0.10)*$R89*$S89*0.875)</f>
        <v/>
      </c>
      <c r="AA89" s="5">
        <f>IF($A89="","",$T89*(1+($3-'WEEKLY INPUT'!X89)*0.10)*$R89*$S89*0.85)</f>
        <v/>
      </c>
      <c r="AB89" s="5">
        <f>IF($A89="","",$T89*(1+($3-'WEEKLY INPUT'!Y89)*0.10)*$R89*$S89*0.825)</f>
        <v/>
      </c>
      <c r="AC89" s="5">
        <f>SUM(U89:AB89)</f>
        <v/>
      </c>
      <c r="AD89" s="5">
        <f>SUM(U89:Z89)</f>
        <v/>
      </c>
      <c r="AE89" s="5">
        <f>IFERROR(AD89/D89,0)</f>
        <v/>
      </c>
      <c r="AF89" s="5">
        <f>MAX(0,1-R89)</f>
        <v/>
      </c>
      <c r="AG89" s="5">
        <f>IFERROR((H89+I89)*R89*(1+0.10*(3-'WEEKLY INPUT'!R89)),"")</f>
        <v/>
      </c>
      <c r="AH89" s="5">
        <f>IFERROR(AG89/SUMPRODUCT($AG$6:$AG$205),"")</f>
        <v/>
      </c>
      <c r="AI89" s="5">
        <f>IFERROR(AD89*(1-AF89*0.5)*(1+0.15*AE89),0)</f>
        <v/>
      </c>
      <c r="AJ89" s="5">
        <f>IF(A89="","",RANK(AI89,$AI$6:$AI$205,0))</f>
        <v/>
      </c>
      <c r="AK89" s="5">
        <f>IFERROR('WEEKLY INPUT'!Z89,"")</f>
        <v/>
      </c>
    </row>
    <row r="90">
      <c r="A90" s="5">
        <f>IFERROR('WEEKLY INPUT'!A90,"")</f>
        <v/>
      </c>
      <c r="B90" s="5">
        <f>IFERROR('WEEKLY INPUT'!B90,"")</f>
        <v/>
      </c>
      <c r="C90" s="5">
        <f>IFERROR('WEEKLY INPUT'!C90,"")</f>
        <v/>
      </c>
      <c r="D90" s="5">
        <f>IFERROR('WEEKLY INPUT'!D90,0)</f>
        <v/>
      </c>
      <c r="E90" s="5">
        <f>IFERROR('WEEKLY INPUT'!E90,0)</f>
        <v/>
      </c>
      <c r="F90" s="5">
        <f>IFERROR('WEEKLY INPUT'!F90,0)</f>
        <v/>
      </c>
      <c r="G90" s="5">
        <f>IFERROR('WEEKLY INPUT'!Q90,0)</f>
        <v/>
      </c>
      <c r="H90" s="5">
        <f>IFERROR('WEEKLY INPUT'!H90/'WEEKLY INPUT'!F90*90,0)</f>
        <v/>
      </c>
      <c r="I90" s="5">
        <f>IFERROR('WEEKLY INPUT'!I90/'WEEKLY INPUT'!F90*90,0)</f>
        <v/>
      </c>
      <c r="J90" s="5">
        <f>H90+I90</f>
        <v/>
      </c>
      <c r="K90" s="5">
        <f>IFERROR('WEEKLY INPUT'!J90/'WEEKLY INPUT'!F90*90,0)</f>
        <v/>
      </c>
      <c r="L90" s="5">
        <f>IFERROR('WEEKLY INPUT'!K90/'WEEKLY INPUT'!F90*90,0)</f>
        <v/>
      </c>
      <c r="M90" s="5">
        <f>IFERROR('WEEKLY INPUT'!L90/'WEEKLY INPUT'!F90*90,0)</f>
        <v/>
      </c>
      <c r="N90" s="5">
        <f>IFERROR('WEEKLY INPUT'!M90/'WEEKLY INPUT'!F90*90,0)</f>
        <v/>
      </c>
      <c r="O90" s="5">
        <f>IFERROR('WEEKLY INPUT'!N90/'WEEKLY INPUT'!F90*90,0)</f>
        <v/>
      </c>
      <c r="P90" s="5">
        <f>IFERROR('WEEKLY INPUT'!O90/'WEEKLY INPUT'!F90*90,0)</f>
        <v/>
      </c>
      <c r="Q90" s="5">
        <f>IFERROR(('WEEKLY INPUT'!J90*2+'WEEKLY INPUT'!K90*1+'WEEKLY INPUT'!O90*0.2)/'WEEKLY INPUT'!F90,0)</f>
        <v/>
      </c>
      <c r="R90" s="5">
        <f>MAX(0.25,MIN(1.15,(F90/540)*0.5+G90*0.5))</f>
        <v/>
      </c>
      <c r="S90" s="5">
        <f>MAX(0.70,MIN(1.10,0.85+0.15*G90))</f>
        <v/>
      </c>
      <c r="T90" s="5">
        <f>IF(A90="","",2*('WEEKLY INPUT'!P90/90)+(H90*5+I90*3)*('WEEKLY INPUT'!P90/90)+(P90*0.15)*('WEEKLY INPUT'!P90/90)+Q90*0.25)</f>
        <v/>
      </c>
      <c r="U90" s="5">
        <f>IF($A90="","",$T90*(1+($3-'WEEKLY INPUT'!R90)*0.10)*$R90*$S90*1.0)</f>
        <v/>
      </c>
      <c r="V90" s="5">
        <f>IF($A90="","",$T90*(1+($3-'WEEKLY INPUT'!S90)*0.10)*$R90*$S90*0.975)</f>
        <v/>
      </c>
      <c r="W90" s="5">
        <f>IF($A90="","",$T90*(1+($3-'WEEKLY INPUT'!T90)*0.10)*$R90*$S90*0.95)</f>
        <v/>
      </c>
      <c r="X90" s="5">
        <f>IF($A90="","",$T90*(1+($3-'WEEKLY INPUT'!U90)*0.10)*$R90*$S90*0.925)</f>
        <v/>
      </c>
      <c r="Y90" s="5">
        <f>IF($A90="","",$T90*(1+($3-'WEEKLY INPUT'!V90)*0.10)*$R90*$S90*0.9)</f>
        <v/>
      </c>
      <c r="Z90" s="5">
        <f>IF($A90="","",$T90*(1+($3-'WEEKLY INPUT'!W90)*0.10)*$R90*$S90*0.875)</f>
        <v/>
      </c>
      <c r="AA90" s="5">
        <f>IF($A90="","",$T90*(1+($3-'WEEKLY INPUT'!X90)*0.10)*$R90*$S90*0.85)</f>
        <v/>
      </c>
      <c r="AB90" s="5">
        <f>IF($A90="","",$T90*(1+($3-'WEEKLY INPUT'!Y90)*0.10)*$R90*$S90*0.825)</f>
        <v/>
      </c>
      <c r="AC90" s="5">
        <f>SUM(U90:AB90)</f>
        <v/>
      </c>
      <c r="AD90" s="5">
        <f>SUM(U90:Z90)</f>
        <v/>
      </c>
      <c r="AE90" s="5">
        <f>IFERROR(AD90/D90,0)</f>
        <v/>
      </c>
      <c r="AF90" s="5">
        <f>MAX(0,1-R90)</f>
        <v/>
      </c>
      <c r="AG90" s="5">
        <f>IFERROR((H90+I90)*R90*(1+0.10*(3-'WEEKLY INPUT'!R90)),"")</f>
        <v/>
      </c>
      <c r="AH90" s="5">
        <f>IFERROR(AG90/SUMPRODUCT($AG$6:$AG$205),"")</f>
        <v/>
      </c>
      <c r="AI90" s="5">
        <f>IFERROR(AD90*(1-AF90*0.5)*(1+0.15*AE90),0)</f>
        <v/>
      </c>
      <c r="AJ90" s="5">
        <f>IF(A90="","",RANK(AI90,$AI$6:$AI$205,0))</f>
        <v/>
      </c>
      <c r="AK90" s="5">
        <f>IFERROR('WEEKLY INPUT'!Z90,"")</f>
        <v/>
      </c>
    </row>
    <row r="91">
      <c r="A91" s="5">
        <f>IFERROR('WEEKLY INPUT'!A91,"")</f>
        <v/>
      </c>
      <c r="B91" s="5">
        <f>IFERROR('WEEKLY INPUT'!B91,"")</f>
        <v/>
      </c>
      <c r="C91" s="5">
        <f>IFERROR('WEEKLY INPUT'!C91,"")</f>
        <v/>
      </c>
      <c r="D91" s="5">
        <f>IFERROR('WEEKLY INPUT'!D91,0)</f>
        <v/>
      </c>
      <c r="E91" s="5">
        <f>IFERROR('WEEKLY INPUT'!E91,0)</f>
        <v/>
      </c>
      <c r="F91" s="5">
        <f>IFERROR('WEEKLY INPUT'!F91,0)</f>
        <v/>
      </c>
      <c r="G91" s="5">
        <f>IFERROR('WEEKLY INPUT'!Q91,0)</f>
        <v/>
      </c>
      <c r="H91" s="5">
        <f>IFERROR('WEEKLY INPUT'!H91/'WEEKLY INPUT'!F91*90,0)</f>
        <v/>
      </c>
      <c r="I91" s="5">
        <f>IFERROR('WEEKLY INPUT'!I91/'WEEKLY INPUT'!F91*90,0)</f>
        <v/>
      </c>
      <c r="J91" s="5">
        <f>H91+I91</f>
        <v/>
      </c>
      <c r="K91" s="5">
        <f>IFERROR('WEEKLY INPUT'!J91/'WEEKLY INPUT'!F91*90,0)</f>
        <v/>
      </c>
      <c r="L91" s="5">
        <f>IFERROR('WEEKLY INPUT'!K91/'WEEKLY INPUT'!F91*90,0)</f>
        <v/>
      </c>
      <c r="M91" s="5">
        <f>IFERROR('WEEKLY INPUT'!L91/'WEEKLY INPUT'!F91*90,0)</f>
        <v/>
      </c>
      <c r="N91" s="5">
        <f>IFERROR('WEEKLY INPUT'!M91/'WEEKLY INPUT'!F91*90,0)</f>
        <v/>
      </c>
      <c r="O91" s="5">
        <f>IFERROR('WEEKLY INPUT'!N91/'WEEKLY INPUT'!F91*90,0)</f>
        <v/>
      </c>
      <c r="P91" s="5">
        <f>IFERROR('WEEKLY INPUT'!O91/'WEEKLY INPUT'!F91*90,0)</f>
        <v/>
      </c>
      <c r="Q91" s="5">
        <f>IFERROR(('WEEKLY INPUT'!J91*2+'WEEKLY INPUT'!K91*1+'WEEKLY INPUT'!O91*0.2)/'WEEKLY INPUT'!F91,0)</f>
        <v/>
      </c>
      <c r="R91" s="5">
        <f>MAX(0.25,MIN(1.15,(F91/540)*0.5+G91*0.5))</f>
        <v/>
      </c>
      <c r="S91" s="5">
        <f>MAX(0.70,MIN(1.10,0.85+0.15*G91))</f>
        <v/>
      </c>
      <c r="T91" s="5">
        <f>IF(A91="","",2*('WEEKLY INPUT'!P91/90)+(H91*5+I91*3)*('WEEKLY INPUT'!P91/90)+(P91*0.15)*('WEEKLY INPUT'!P91/90)+Q91*0.25)</f>
        <v/>
      </c>
      <c r="U91" s="5">
        <f>IF($A91="","",$T91*(1+($3-'WEEKLY INPUT'!R91)*0.10)*$R91*$S91*1.0)</f>
        <v/>
      </c>
      <c r="V91" s="5">
        <f>IF($A91="","",$T91*(1+($3-'WEEKLY INPUT'!S91)*0.10)*$R91*$S91*0.975)</f>
        <v/>
      </c>
      <c r="W91" s="5">
        <f>IF($A91="","",$T91*(1+($3-'WEEKLY INPUT'!T91)*0.10)*$R91*$S91*0.95)</f>
        <v/>
      </c>
      <c r="X91" s="5">
        <f>IF($A91="","",$T91*(1+($3-'WEEKLY INPUT'!U91)*0.10)*$R91*$S91*0.925)</f>
        <v/>
      </c>
      <c r="Y91" s="5">
        <f>IF($A91="","",$T91*(1+($3-'WEEKLY INPUT'!V91)*0.10)*$R91*$S91*0.9)</f>
        <v/>
      </c>
      <c r="Z91" s="5">
        <f>IF($A91="","",$T91*(1+($3-'WEEKLY INPUT'!W91)*0.10)*$R91*$S91*0.875)</f>
        <v/>
      </c>
      <c r="AA91" s="5">
        <f>IF($A91="","",$T91*(1+($3-'WEEKLY INPUT'!X91)*0.10)*$R91*$S91*0.85)</f>
        <v/>
      </c>
      <c r="AB91" s="5">
        <f>IF($A91="","",$T91*(1+($3-'WEEKLY INPUT'!Y91)*0.10)*$R91*$S91*0.825)</f>
        <v/>
      </c>
      <c r="AC91" s="5">
        <f>SUM(U91:AB91)</f>
        <v/>
      </c>
      <c r="AD91" s="5">
        <f>SUM(U91:Z91)</f>
        <v/>
      </c>
      <c r="AE91" s="5">
        <f>IFERROR(AD91/D91,0)</f>
        <v/>
      </c>
      <c r="AF91" s="5">
        <f>MAX(0,1-R91)</f>
        <v/>
      </c>
      <c r="AG91" s="5">
        <f>IFERROR((H91+I91)*R91*(1+0.10*(3-'WEEKLY INPUT'!R91)),"")</f>
        <v/>
      </c>
      <c r="AH91" s="5">
        <f>IFERROR(AG91/SUMPRODUCT($AG$6:$AG$205),"")</f>
        <v/>
      </c>
      <c r="AI91" s="5">
        <f>IFERROR(AD91*(1-AF91*0.5)*(1+0.15*AE91),0)</f>
        <v/>
      </c>
      <c r="AJ91" s="5">
        <f>IF(A91="","",RANK(AI91,$AI$6:$AI$205,0))</f>
        <v/>
      </c>
      <c r="AK91" s="5">
        <f>IFERROR('WEEKLY INPUT'!Z91,"")</f>
        <v/>
      </c>
    </row>
    <row r="92">
      <c r="A92" s="5">
        <f>IFERROR('WEEKLY INPUT'!A92,"")</f>
        <v/>
      </c>
      <c r="B92" s="5">
        <f>IFERROR('WEEKLY INPUT'!B92,"")</f>
        <v/>
      </c>
      <c r="C92" s="5">
        <f>IFERROR('WEEKLY INPUT'!C92,"")</f>
        <v/>
      </c>
      <c r="D92" s="5">
        <f>IFERROR('WEEKLY INPUT'!D92,0)</f>
        <v/>
      </c>
      <c r="E92" s="5">
        <f>IFERROR('WEEKLY INPUT'!E92,0)</f>
        <v/>
      </c>
      <c r="F92" s="5">
        <f>IFERROR('WEEKLY INPUT'!F92,0)</f>
        <v/>
      </c>
      <c r="G92" s="5">
        <f>IFERROR('WEEKLY INPUT'!Q92,0)</f>
        <v/>
      </c>
      <c r="H92" s="5">
        <f>IFERROR('WEEKLY INPUT'!H92/'WEEKLY INPUT'!F92*90,0)</f>
        <v/>
      </c>
      <c r="I92" s="5">
        <f>IFERROR('WEEKLY INPUT'!I92/'WEEKLY INPUT'!F92*90,0)</f>
        <v/>
      </c>
      <c r="J92" s="5">
        <f>H92+I92</f>
        <v/>
      </c>
      <c r="K92" s="5">
        <f>IFERROR('WEEKLY INPUT'!J92/'WEEKLY INPUT'!F92*90,0)</f>
        <v/>
      </c>
      <c r="L92" s="5">
        <f>IFERROR('WEEKLY INPUT'!K92/'WEEKLY INPUT'!F92*90,0)</f>
        <v/>
      </c>
      <c r="M92" s="5">
        <f>IFERROR('WEEKLY INPUT'!L92/'WEEKLY INPUT'!F92*90,0)</f>
        <v/>
      </c>
      <c r="N92" s="5">
        <f>IFERROR('WEEKLY INPUT'!M92/'WEEKLY INPUT'!F92*90,0)</f>
        <v/>
      </c>
      <c r="O92" s="5">
        <f>IFERROR('WEEKLY INPUT'!N92/'WEEKLY INPUT'!F92*90,0)</f>
        <v/>
      </c>
      <c r="P92" s="5">
        <f>IFERROR('WEEKLY INPUT'!O92/'WEEKLY INPUT'!F92*90,0)</f>
        <v/>
      </c>
      <c r="Q92" s="5">
        <f>IFERROR(('WEEKLY INPUT'!J92*2+'WEEKLY INPUT'!K92*1+'WEEKLY INPUT'!O92*0.2)/'WEEKLY INPUT'!F92,0)</f>
        <v/>
      </c>
      <c r="R92" s="5">
        <f>MAX(0.25,MIN(1.15,(F92/540)*0.5+G92*0.5))</f>
        <v/>
      </c>
      <c r="S92" s="5">
        <f>MAX(0.70,MIN(1.10,0.85+0.15*G92))</f>
        <v/>
      </c>
      <c r="T92" s="5">
        <f>IF(A92="","",2*('WEEKLY INPUT'!P92/90)+(H92*5+I92*3)*('WEEKLY INPUT'!P92/90)+(P92*0.15)*('WEEKLY INPUT'!P92/90)+Q92*0.25)</f>
        <v/>
      </c>
      <c r="U92" s="5">
        <f>IF($A92="","",$T92*(1+($3-'WEEKLY INPUT'!R92)*0.10)*$R92*$S92*1.0)</f>
        <v/>
      </c>
      <c r="V92" s="5">
        <f>IF($A92="","",$T92*(1+($3-'WEEKLY INPUT'!S92)*0.10)*$R92*$S92*0.975)</f>
        <v/>
      </c>
      <c r="W92" s="5">
        <f>IF($A92="","",$T92*(1+($3-'WEEKLY INPUT'!T92)*0.10)*$R92*$S92*0.95)</f>
        <v/>
      </c>
      <c r="X92" s="5">
        <f>IF($A92="","",$T92*(1+($3-'WEEKLY INPUT'!U92)*0.10)*$R92*$S92*0.925)</f>
        <v/>
      </c>
      <c r="Y92" s="5">
        <f>IF($A92="","",$T92*(1+($3-'WEEKLY INPUT'!V92)*0.10)*$R92*$S92*0.9)</f>
        <v/>
      </c>
      <c r="Z92" s="5">
        <f>IF($A92="","",$T92*(1+($3-'WEEKLY INPUT'!W92)*0.10)*$R92*$S92*0.875)</f>
        <v/>
      </c>
      <c r="AA92" s="5">
        <f>IF($A92="","",$T92*(1+($3-'WEEKLY INPUT'!X92)*0.10)*$R92*$S92*0.85)</f>
        <v/>
      </c>
      <c r="AB92" s="5">
        <f>IF($A92="","",$T92*(1+($3-'WEEKLY INPUT'!Y92)*0.10)*$R92*$S92*0.825)</f>
        <v/>
      </c>
      <c r="AC92" s="5">
        <f>SUM(U92:AB92)</f>
        <v/>
      </c>
      <c r="AD92" s="5">
        <f>SUM(U92:Z92)</f>
        <v/>
      </c>
      <c r="AE92" s="5">
        <f>IFERROR(AD92/D92,0)</f>
        <v/>
      </c>
      <c r="AF92" s="5">
        <f>MAX(0,1-R92)</f>
        <v/>
      </c>
      <c r="AG92" s="5">
        <f>IFERROR((H92+I92)*R92*(1+0.10*(3-'WEEKLY INPUT'!R92)),"")</f>
        <v/>
      </c>
      <c r="AH92" s="5">
        <f>IFERROR(AG92/SUMPRODUCT($AG$6:$AG$205),"")</f>
        <v/>
      </c>
      <c r="AI92" s="5">
        <f>IFERROR(AD92*(1-AF92*0.5)*(1+0.15*AE92),0)</f>
        <v/>
      </c>
      <c r="AJ92" s="5">
        <f>IF(A92="","",RANK(AI92,$AI$6:$AI$205,0))</f>
        <v/>
      </c>
      <c r="AK92" s="5">
        <f>IFERROR('WEEKLY INPUT'!Z92,"")</f>
        <v/>
      </c>
    </row>
    <row r="93">
      <c r="A93" s="5">
        <f>IFERROR('WEEKLY INPUT'!A93,"")</f>
        <v/>
      </c>
      <c r="B93" s="5">
        <f>IFERROR('WEEKLY INPUT'!B93,"")</f>
        <v/>
      </c>
      <c r="C93" s="5">
        <f>IFERROR('WEEKLY INPUT'!C93,"")</f>
        <v/>
      </c>
      <c r="D93" s="5">
        <f>IFERROR('WEEKLY INPUT'!D93,0)</f>
        <v/>
      </c>
      <c r="E93" s="5">
        <f>IFERROR('WEEKLY INPUT'!E93,0)</f>
        <v/>
      </c>
      <c r="F93" s="5">
        <f>IFERROR('WEEKLY INPUT'!F93,0)</f>
        <v/>
      </c>
      <c r="G93" s="5">
        <f>IFERROR('WEEKLY INPUT'!Q93,0)</f>
        <v/>
      </c>
      <c r="H93" s="5">
        <f>IFERROR('WEEKLY INPUT'!H93/'WEEKLY INPUT'!F93*90,0)</f>
        <v/>
      </c>
      <c r="I93" s="5">
        <f>IFERROR('WEEKLY INPUT'!I93/'WEEKLY INPUT'!F93*90,0)</f>
        <v/>
      </c>
      <c r="J93" s="5">
        <f>H93+I93</f>
        <v/>
      </c>
      <c r="K93" s="5">
        <f>IFERROR('WEEKLY INPUT'!J93/'WEEKLY INPUT'!F93*90,0)</f>
        <v/>
      </c>
      <c r="L93" s="5">
        <f>IFERROR('WEEKLY INPUT'!K93/'WEEKLY INPUT'!F93*90,0)</f>
        <v/>
      </c>
      <c r="M93" s="5">
        <f>IFERROR('WEEKLY INPUT'!L93/'WEEKLY INPUT'!F93*90,0)</f>
        <v/>
      </c>
      <c r="N93" s="5">
        <f>IFERROR('WEEKLY INPUT'!M93/'WEEKLY INPUT'!F93*90,0)</f>
        <v/>
      </c>
      <c r="O93" s="5">
        <f>IFERROR('WEEKLY INPUT'!N93/'WEEKLY INPUT'!F93*90,0)</f>
        <v/>
      </c>
      <c r="P93" s="5">
        <f>IFERROR('WEEKLY INPUT'!O93/'WEEKLY INPUT'!F93*90,0)</f>
        <v/>
      </c>
      <c r="Q93" s="5">
        <f>IFERROR(('WEEKLY INPUT'!J93*2+'WEEKLY INPUT'!K93*1+'WEEKLY INPUT'!O93*0.2)/'WEEKLY INPUT'!F93,0)</f>
        <v/>
      </c>
      <c r="R93" s="5">
        <f>MAX(0.25,MIN(1.15,(F93/540)*0.5+G93*0.5))</f>
        <v/>
      </c>
      <c r="S93" s="5">
        <f>MAX(0.70,MIN(1.10,0.85+0.15*G93))</f>
        <v/>
      </c>
      <c r="T93" s="5">
        <f>IF(A93="","",2*('WEEKLY INPUT'!P93/90)+(H93*5+I93*3)*('WEEKLY INPUT'!P93/90)+(P93*0.15)*('WEEKLY INPUT'!P93/90)+Q93*0.25)</f>
        <v/>
      </c>
      <c r="U93" s="5">
        <f>IF($A93="","",$T93*(1+($3-'WEEKLY INPUT'!R93)*0.10)*$R93*$S93*1.0)</f>
        <v/>
      </c>
      <c r="V93" s="5">
        <f>IF($A93="","",$T93*(1+($3-'WEEKLY INPUT'!S93)*0.10)*$R93*$S93*0.975)</f>
        <v/>
      </c>
      <c r="W93" s="5">
        <f>IF($A93="","",$T93*(1+($3-'WEEKLY INPUT'!T93)*0.10)*$R93*$S93*0.95)</f>
        <v/>
      </c>
      <c r="X93" s="5">
        <f>IF($A93="","",$T93*(1+($3-'WEEKLY INPUT'!U93)*0.10)*$R93*$S93*0.925)</f>
        <v/>
      </c>
      <c r="Y93" s="5">
        <f>IF($A93="","",$T93*(1+($3-'WEEKLY INPUT'!V93)*0.10)*$R93*$S93*0.9)</f>
        <v/>
      </c>
      <c r="Z93" s="5">
        <f>IF($A93="","",$T93*(1+($3-'WEEKLY INPUT'!W93)*0.10)*$R93*$S93*0.875)</f>
        <v/>
      </c>
      <c r="AA93" s="5">
        <f>IF($A93="","",$T93*(1+($3-'WEEKLY INPUT'!X93)*0.10)*$R93*$S93*0.85)</f>
        <v/>
      </c>
      <c r="AB93" s="5">
        <f>IF($A93="","",$T93*(1+($3-'WEEKLY INPUT'!Y93)*0.10)*$R93*$S93*0.825)</f>
        <v/>
      </c>
      <c r="AC93" s="5">
        <f>SUM(U93:AB93)</f>
        <v/>
      </c>
      <c r="AD93" s="5">
        <f>SUM(U93:Z93)</f>
        <v/>
      </c>
      <c r="AE93" s="5">
        <f>IFERROR(AD93/D93,0)</f>
        <v/>
      </c>
      <c r="AF93" s="5">
        <f>MAX(0,1-R93)</f>
        <v/>
      </c>
      <c r="AG93" s="5">
        <f>IFERROR((H93+I93)*R93*(1+0.10*(3-'WEEKLY INPUT'!R93)),"")</f>
        <v/>
      </c>
      <c r="AH93" s="5">
        <f>IFERROR(AG93/SUMPRODUCT($AG$6:$AG$205),"")</f>
        <v/>
      </c>
      <c r="AI93" s="5">
        <f>IFERROR(AD93*(1-AF93*0.5)*(1+0.15*AE93),0)</f>
        <v/>
      </c>
      <c r="AJ93" s="5">
        <f>IF(A93="","",RANK(AI93,$AI$6:$AI$205,0))</f>
        <v/>
      </c>
      <c r="AK93" s="5">
        <f>IFERROR('WEEKLY INPUT'!Z93,"")</f>
        <v/>
      </c>
    </row>
    <row r="94">
      <c r="A94" s="5">
        <f>IFERROR('WEEKLY INPUT'!A94,"")</f>
        <v/>
      </c>
      <c r="B94" s="5">
        <f>IFERROR('WEEKLY INPUT'!B94,"")</f>
        <v/>
      </c>
      <c r="C94" s="5">
        <f>IFERROR('WEEKLY INPUT'!C94,"")</f>
        <v/>
      </c>
      <c r="D94" s="5">
        <f>IFERROR('WEEKLY INPUT'!D94,0)</f>
        <v/>
      </c>
      <c r="E94" s="5">
        <f>IFERROR('WEEKLY INPUT'!E94,0)</f>
        <v/>
      </c>
      <c r="F94" s="5">
        <f>IFERROR('WEEKLY INPUT'!F94,0)</f>
        <v/>
      </c>
      <c r="G94" s="5">
        <f>IFERROR('WEEKLY INPUT'!Q94,0)</f>
        <v/>
      </c>
      <c r="H94" s="5">
        <f>IFERROR('WEEKLY INPUT'!H94/'WEEKLY INPUT'!F94*90,0)</f>
        <v/>
      </c>
      <c r="I94" s="5">
        <f>IFERROR('WEEKLY INPUT'!I94/'WEEKLY INPUT'!F94*90,0)</f>
        <v/>
      </c>
      <c r="J94" s="5">
        <f>H94+I94</f>
        <v/>
      </c>
      <c r="K94" s="5">
        <f>IFERROR('WEEKLY INPUT'!J94/'WEEKLY INPUT'!F94*90,0)</f>
        <v/>
      </c>
      <c r="L94" s="5">
        <f>IFERROR('WEEKLY INPUT'!K94/'WEEKLY INPUT'!F94*90,0)</f>
        <v/>
      </c>
      <c r="M94" s="5">
        <f>IFERROR('WEEKLY INPUT'!L94/'WEEKLY INPUT'!F94*90,0)</f>
        <v/>
      </c>
      <c r="N94" s="5">
        <f>IFERROR('WEEKLY INPUT'!M94/'WEEKLY INPUT'!F94*90,0)</f>
        <v/>
      </c>
      <c r="O94" s="5">
        <f>IFERROR('WEEKLY INPUT'!N94/'WEEKLY INPUT'!F94*90,0)</f>
        <v/>
      </c>
      <c r="P94" s="5">
        <f>IFERROR('WEEKLY INPUT'!O94/'WEEKLY INPUT'!F94*90,0)</f>
        <v/>
      </c>
      <c r="Q94" s="5">
        <f>IFERROR(('WEEKLY INPUT'!J94*2+'WEEKLY INPUT'!K94*1+'WEEKLY INPUT'!O94*0.2)/'WEEKLY INPUT'!F94,0)</f>
        <v/>
      </c>
      <c r="R94" s="5">
        <f>MAX(0.25,MIN(1.15,(F94/540)*0.5+G94*0.5))</f>
        <v/>
      </c>
      <c r="S94" s="5">
        <f>MAX(0.70,MIN(1.10,0.85+0.15*G94))</f>
        <v/>
      </c>
      <c r="T94" s="5">
        <f>IF(A94="","",2*('WEEKLY INPUT'!P94/90)+(H94*5+I94*3)*('WEEKLY INPUT'!P94/90)+(P94*0.15)*('WEEKLY INPUT'!P94/90)+Q94*0.25)</f>
        <v/>
      </c>
      <c r="U94" s="5">
        <f>IF($A94="","",$T94*(1+($3-'WEEKLY INPUT'!R94)*0.10)*$R94*$S94*1.0)</f>
        <v/>
      </c>
      <c r="V94" s="5">
        <f>IF($A94="","",$T94*(1+($3-'WEEKLY INPUT'!S94)*0.10)*$R94*$S94*0.975)</f>
        <v/>
      </c>
      <c r="W94" s="5">
        <f>IF($A94="","",$T94*(1+($3-'WEEKLY INPUT'!T94)*0.10)*$R94*$S94*0.95)</f>
        <v/>
      </c>
      <c r="X94" s="5">
        <f>IF($A94="","",$T94*(1+($3-'WEEKLY INPUT'!U94)*0.10)*$R94*$S94*0.925)</f>
        <v/>
      </c>
      <c r="Y94" s="5">
        <f>IF($A94="","",$T94*(1+($3-'WEEKLY INPUT'!V94)*0.10)*$R94*$S94*0.9)</f>
        <v/>
      </c>
      <c r="Z94" s="5">
        <f>IF($A94="","",$T94*(1+($3-'WEEKLY INPUT'!W94)*0.10)*$R94*$S94*0.875)</f>
        <v/>
      </c>
      <c r="AA94" s="5">
        <f>IF($A94="","",$T94*(1+($3-'WEEKLY INPUT'!X94)*0.10)*$R94*$S94*0.85)</f>
        <v/>
      </c>
      <c r="AB94" s="5">
        <f>IF($A94="","",$T94*(1+($3-'WEEKLY INPUT'!Y94)*0.10)*$R94*$S94*0.825)</f>
        <v/>
      </c>
      <c r="AC94" s="5">
        <f>SUM(U94:AB94)</f>
        <v/>
      </c>
      <c r="AD94" s="5">
        <f>SUM(U94:Z94)</f>
        <v/>
      </c>
      <c r="AE94" s="5">
        <f>IFERROR(AD94/D94,0)</f>
        <v/>
      </c>
      <c r="AF94" s="5">
        <f>MAX(0,1-R94)</f>
        <v/>
      </c>
      <c r="AG94" s="5">
        <f>IFERROR((H94+I94)*R94*(1+0.10*(3-'WEEKLY INPUT'!R94)),"")</f>
        <v/>
      </c>
      <c r="AH94" s="5">
        <f>IFERROR(AG94/SUMPRODUCT($AG$6:$AG$205),"")</f>
        <v/>
      </c>
      <c r="AI94" s="5">
        <f>IFERROR(AD94*(1-AF94*0.5)*(1+0.15*AE94),0)</f>
        <v/>
      </c>
      <c r="AJ94" s="5">
        <f>IF(A94="","",RANK(AI94,$AI$6:$AI$205,0))</f>
        <v/>
      </c>
      <c r="AK94" s="5">
        <f>IFERROR('WEEKLY INPUT'!Z94,"")</f>
        <v/>
      </c>
    </row>
    <row r="95">
      <c r="A95" s="5">
        <f>IFERROR('WEEKLY INPUT'!A95,"")</f>
        <v/>
      </c>
      <c r="B95" s="5">
        <f>IFERROR('WEEKLY INPUT'!B95,"")</f>
        <v/>
      </c>
      <c r="C95" s="5">
        <f>IFERROR('WEEKLY INPUT'!C95,"")</f>
        <v/>
      </c>
      <c r="D95" s="5">
        <f>IFERROR('WEEKLY INPUT'!D95,0)</f>
        <v/>
      </c>
      <c r="E95" s="5">
        <f>IFERROR('WEEKLY INPUT'!E95,0)</f>
        <v/>
      </c>
      <c r="F95" s="5">
        <f>IFERROR('WEEKLY INPUT'!F95,0)</f>
        <v/>
      </c>
      <c r="G95" s="5">
        <f>IFERROR('WEEKLY INPUT'!Q95,0)</f>
        <v/>
      </c>
      <c r="H95" s="5">
        <f>IFERROR('WEEKLY INPUT'!H95/'WEEKLY INPUT'!F95*90,0)</f>
        <v/>
      </c>
      <c r="I95" s="5">
        <f>IFERROR('WEEKLY INPUT'!I95/'WEEKLY INPUT'!F95*90,0)</f>
        <v/>
      </c>
      <c r="J95" s="5">
        <f>H95+I95</f>
        <v/>
      </c>
      <c r="K95" s="5">
        <f>IFERROR('WEEKLY INPUT'!J95/'WEEKLY INPUT'!F95*90,0)</f>
        <v/>
      </c>
      <c r="L95" s="5">
        <f>IFERROR('WEEKLY INPUT'!K95/'WEEKLY INPUT'!F95*90,0)</f>
        <v/>
      </c>
      <c r="M95" s="5">
        <f>IFERROR('WEEKLY INPUT'!L95/'WEEKLY INPUT'!F95*90,0)</f>
        <v/>
      </c>
      <c r="N95" s="5">
        <f>IFERROR('WEEKLY INPUT'!M95/'WEEKLY INPUT'!F95*90,0)</f>
        <v/>
      </c>
      <c r="O95" s="5">
        <f>IFERROR('WEEKLY INPUT'!N95/'WEEKLY INPUT'!F95*90,0)</f>
        <v/>
      </c>
      <c r="P95" s="5">
        <f>IFERROR('WEEKLY INPUT'!O95/'WEEKLY INPUT'!F95*90,0)</f>
        <v/>
      </c>
      <c r="Q95" s="5">
        <f>IFERROR(('WEEKLY INPUT'!J95*2+'WEEKLY INPUT'!K95*1+'WEEKLY INPUT'!O95*0.2)/'WEEKLY INPUT'!F95,0)</f>
        <v/>
      </c>
      <c r="R95" s="5">
        <f>MAX(0.25,MIN(1.15,(F95/540)*0.5+G95*0.5))</f>
        <v/>
      </c>
      <c r="S95" s="5">
        <f>MAX(0.70,MIN(1.10,0.85+0.15*G95))</f>
        <v/>
      </c>
      <c r="T95" s="5">
        <f>IF(A95="","",2*('WEEKLY INPUT'!P95/90)+(H95*5+I95*3)*('WEEKLY INPUT'!P95/90)+(P95*0.15)*('WEEKLY INPUT'!P95/90)+Q95*0.25)</f>
        <v/>
      </c>
      <c r="U95" s="5">
        <f>IF($A95="","",$T95*(1+($3-'WEEKLY INPUT'!R95)*0.10)*$R95*$S95*1.0)</f>
        <v/>
      </c>
      <c r="V95" s="5">
        <f>IF($A95="","",$T95*(1+($3-'WEEKLY INPUT'!S95)*0.10)*$R95*$S95*0.975)</f>
        <v/>
      </c>
      <c r="W95" s="5">
        <f>IF($A95="","",$T95*(1+($3-'WEEKLY INPUT'!T95)*0.10)*$R95*$S95*0.95)</f>
        <v/>
      </c>
      <c r="X95" s="5">
        <f>IF($A95="","",$T95*(1+($3-'WEEKLY INPUT'!U95)*0.10)*$R95*$S95*0.925)</f>
        <v/>
      </c>
      <c r="Y95" s="5">
        <f>IF($A95="","",$T95*(1+($3-'WEEKLY INPUT'!V95)*0.10)*$R95*$S95*0.9)</f>
        <v/>
      </c>
      <c r="Z95" s="5">
        <f>IF($A95="","",$T95*(1+($3-'WEEKLY INPUT'!W95)*0.10)*$R95*$S95*0.875)</f>
        <v/>
      </c>
      <c r="AA95" s="5">
        <f>IF($A95="","",$T95*(1+($3-'WEEKLY INPUT'!X95)*0.10)*$R95*$S95*0.85)</f>
        <v/>
      </c>
      <c r="AB95" s="5">
        <f>IF($A95="","",$T95*(1+($3-'WEEKLY INPUT'!Y95)*0.10)*$R95*$S95*0.825)</f>
        <v/>
      </c>
      <c r="AC95" s="5">
        <f>SUM(U95:AB95)</f>
        <v/>
      </c>
      <c r="AD95" s="5">
        <f>SUM(U95:Z95)</f>
        <v/>
      </c>
      <c r="AE95" s="5">
        <f>IFERROR(AD95/D95,0)</f>
        <v/>
      </c>
      <c r="AF95" s="5">
        <f>MAX(0,1-R95)</f>
        <v/>
      </c>
      <c r="AG95" s="5">
        <f>IFERROR((H95+I95)*R95*(1+0.10*(3-'WEEKLY INPUT'!R95)),"")</f>
        <v/>
      </c>
      <c r="AH95" s="5">
        <f>IFERROR(AG95/SUMPRODUCT($AG$6:$AG$205),"")</f>
        <v/>
      </c>
      <c r="AI95" s="5">
        <f>IFERROR(AD95*(1-AF95*0.5)*(1+0.15*AE95),0)</f>
        <v/>
      </c>
      <c r="AJ95" s="5">
        <f>IF(A95="","",RANK(AI95,$AI$6:$AI$205,0))</f>
        <v/>
      </c>
      <c r="AK95" s="5">
        <f>IFERROR('WEEKLY INPUT'!Z95,"")</f>
        <v/>
      </c>
    </row>
    <row r="96">
      <c r="A96" s="5">
        <f>IFERROR('WEEKLY INPUT'!A96,"")</f>
        <v/>
      </c>
      <c r="B96" s="5">
        <f>IFERROR('WEEKLY INPUT'!B96,"")</f>
        <v/>
      </c>
      <c r="C96" s="5">
        <f>IFERROR('WEEKLY INPUT'!C96,"")</f>
        <v/>
      </c>
      <c r="D96" s="5">
        <f>IFERROR('WEEKLY INPUT'!D96,0)</f>
        <v/>
      </c>
      <c r="E96" s="5">
        <f>IFERROR('WEEKLY INPUT'!E96,0)</f>
        <v/>
      </c>
      <c r="F96" s="5">
        <f>IFERROR('WEEKLY INPUT'!F96,0)</f>
        <v/>
      </c>
      <c r="G96" s="5">
        <f>IFERROR('WEEKLY INPUT'!Q96,0)</f>
        <v/>
      </c>
      <c r="H96" s="5">
        <f>IFERROR('WEEKLY INPUT'!H96/'WEEKLY INPUT'!F96*90,0)</f>
        <v/>
      </c>
      <c r="I96" s="5">
        <f>IFERROR('WEEKLY INPUT'!I96/'WEEKLY INPUT'!F96*90,0)</f>
        <v/>
      </c>
      <c r="J96" s="5">
        <f>H96+I96</f>
        <v/>
      </c>
      <c r="K96" s="5">
        <f>IFERROR('WEEKLY INPUT'!J96/'WEEKLY INPUT'!F96*90,0)</f>
        <v/>
      </c>
      <c r="L96" s="5">
        <f>IFERROR('WEEKLY INPUT'!K96/'WEEKLY INPUT'!F96*90,0)</f>
        <v/>
      </c>
      <c r="M96" s="5">
        <f>IFERROR('WEEKLY INPUT'!L96/'WEEKLY INPUT'!F96*90,0)</f>
        <v/>
      </c>
      <c r="N96" s="5">
        <f>IFERROR('WEEKLY INPUT'!M96/'WEEKLY INPUT'!F96*90,0)</f>
        <v/>
      </c>
      <c r="O96" s="5">
        <f>IFERROR('WEEKLY INPUT'!N96/'WEEKLY INPUT'!F96*90,0)</f>
        <v/>
      </c>
      <c r="P96" s="5">
        <f>IFERROR('WEEKLY INPUT'!O96/'WEEKLY INPUT'!F96*90,0)</f>
        <v/>
      </c>
      <c r="Q96" s="5">
        <f>IFERROR(('WEEKLY INPUT'!J96*2+'WEEKLY INPUT'!K96*1+'WEEKLY INPUT'!O96*0.2)/'WEEKLY INPUT'!F96,0)</f>
        <v/>
      </c>
      <c r="R96" s="5">
        <f>MAX(0.25,MIN(1.15,(F96/540)*0.5+G96*0.5))</f>
        <v/>
      </c>
      <c r="S96" s="5">
        <f>MAX(0.70,MIN(1.10,0.85+0.15*G96))</f>
        <v/>
      </c>
      <c r="T96" s="5">
        <f>IF(A96="","",2*('WEEKLY INPUT'!P96/90)+(H96*5+I96*3)*('WEEKLY INPUT'!P96/90)+(P96*0.15)*('WEEKLY INPUT'!P96/90)+Q96*0.25)</f>
        <v/>
      </c>
      <c r="U96" s="5">
        <f>IF($A96="","",$T96*(1+($3-'WEEKLY INPUT'!R96)*0.10)*$R96*$S96*1.0)</f>
        <v/>
      </c>
      <c r="V96" s="5">
        <f>IF($A96="","",$T96*(1+($3-'WEEKLY INPUT'!S96)*0.10)*$R96*$S96*0.975)</f>
        <v/>
      </c>
      <c r="W96" s="5">
        <f>IF($A96="","",$T96*(1+($3-'WEEKLY INPUT'!T96)*0.10)*$R96*$S96*0.95)</f>
        <v/>
      </c>
      <c r="X96" s="5">
        <f>IF($A96="","",$T96*(1+($3-'WEEKLY INPUT'!U96)*0.10)*$R96*$S96*0.925)</f>
        <v/>
      </c>
      <c r="Y96" s="5">
        <f>IF($A96="","",$T96*(1+($3-'WEEKLY INPUT'!V96)*0.10)*$R96*$S96*0.9)</f>
        <v/>
      </c>
      <c r="Z96" s="5">
        <f>IF($A96="","",$T96*(1+($3-'WEEKLY INPUT'!W96)*0.10)*$R96*$S96*0.875)</f>
        <v/>
      </c>
      <c r="AA96" s="5">
        <f>IF($A96="","",$T96*(1+($3-'WEEKLY INPUT'!X96)*0.10)*$R96*$S96*0.85)</f>
        <v/>
      </c>
      <c r="AB96" s="5">
        <f>IF($A96="","",$T96*(1+($3-'WEEKLY INPUT'!Y96)*0.10)*$R96*$S96*0.825)</f>
        <v/>
      </c>
      <c r="AC96" s="5">
        <f>SUM(U96:AB96)</f>
        <v/>
      </c>
      <c r="AD96" s="5">
        <f>SUM(U96:Z96)</f>
        <v/>
      </c>
      <c r="AE96" s="5">
        <f>IFERROR(AD96/D96,0)</f>
        <v/>
      </c>
      <c r="AF96" s="5">
        <f>MAX(0,1-R96)</f>
        <v/>
      </c>
      <c r="AG96" s="5">
        <f>IFERROR((H96+I96)*R96*(1+0.10*(3-'WEEKLY INPUT'!R96)),"")</f>
        <v/>
      </c>
      <c r="AH96" s="5">
        <f>IFERROR(AG96/SUMPRODUCT($AG$6:$AG$205),"")</f>
        <v/>
      </c>
      <c r="AI96" s="5">
        <f>IFERROR(AD96*(1-AF96*0.5)*(1+0.15*AE96),0)</f>
        <v/>
      </c>
      <c r="AJ96" s="5">
        <f>IF(A96="","",RANK(AI96,$AI$6:$AI$205,0))</f>
        <v/>
      </c>
      <c r="AK96" s="5">
        <f>IFERROR('WEEKLY INPUT'!Z96,"")</f>
        <v/>
      </c>
    </row>
    <row r="97">
      <c r="A97" s="5">
        <f>IFERROR('WEEKLY INPUT'!A97,"")</f>
        <v/>
      </c>
      <c r="B97" s="5">
        <f>IFERROR('WEEKLY INPUT'!B97,"")</f>
        <v/>
      </c>
      <c r="C97" s="5">
        <f>IFERROR('WEEKLY INPUT'!C97,"")</f>
        <v/>
      </c>
      <c r="D97" s="5">
        <f>IFERROR('WEEKLY INPUT'!D97,0)</f>
        <v/>
      </c>
      <c r="E97" s="5">
        <f>IFERROR('WEEKLY INPUT'!E97,0)</f>
        <v/>
      </c>
      <c r="F97" s="5">
        <f>IFERROR('WEEKLY INPUT'!F97,0)</f>
        <v/>
      </c>
      <c r="G97" s="5">
        <f>IFERROR('WEEKLY INPUT'!Q97,0)</f>
        <v/>
      </c>
      <c r="H97" s="5">
        <f>IFERROR('WEEKLY INPUT'!H97/'WEEKLY INPUT'!F97*90,0)</f>
        <v/>
      </c>
      <c r="I97" s="5">
        <f>IFERROR('WEEKLY INPUT'!I97/'WEEKLY INPUT'!F97*90,0)</f>
        <v/>
      </c>
      <c r="J97" s="5">
        <f>H97+I97</f>
        <v/>
      </c>
      <c r="K97" s="5">
        <f>IFERROR('WEEKLY INPUT'!J97/'WEEKLY INPUT'!F97*90,0)</f>
        <v/>
      </c>
      <c r="L97" s="5">
        <f>IFERROR('WEEKLY INPUT'!K97/'WEEKLY INPUT'!F97*90,0)</f>
        <v/>
      </c>
      <c r="M97" s="5">
        <f>IFERROR('WEEKLY INPUT'!L97/'WEEKLY INPUT'!F97*90,0)</f>
        <v/>
      </c>
      <c r="N97" s="5">
        <f>IFERROR('WEEKLY INPUT'!M97/'WEEKLY INPUT'!F97*90,0)</f>
        <v/>
      </c>
      <c r="O97" s="5">
        <f>IFERROR('WEEKLY INPUT'!N97/'WEEKLY INPUT'!F97*90,0)</f>
        <v/>
      </c>
      <c r="P97" s="5">
        <f>IFERROR('WEEKLY INPUT'!O97/'WEEKLY INPUT'!F97*90,0)</f>
        <v/>
      </c>
      <c r="Q97" s="5">
        <f>IFERROR(('WEEKLY INPUT'!J97*2+'WEEKLY INPUT'!K97*1+'WEEKLY INPUT'!O97*0.2)/'WEEKLY INPUT'!F97,0)</f>
        <v/>
      </c>
      <c r="R97" s="5">
        <f>MAX(0.25,MIN(1.15,(F97/540)*0.5+G97*0.5))</f>
        <v/>
      </c>
      <c r="S97" s="5">
        <f>MAX(0.70,MIN(1.10,0.85+0.15*G97))</f>
        <v/>
      </c>
      <c r="T97" s="5">
        <f>IF(A97="","",2*('WEEKLY INPUT'!P97/90)+(H97*5+I97*3)*('WEEKLY INPUT'!P97/90)+(P97*0.15)*('WEEKLY INPUT'!P97/90)+Q97*0.25)</f>
        <v/>
      </c>
      <c r="U97" s="5">
        <f>IF($A97="","",$T97*(1+($3-'WEEKLY INPUT'!R97)*0.10)*$R97*$S97*1.0)</f>
        <v/>
      </c>
      <c r="V97" s="5">
        <f>IF($A97="","",$T97*(1+($3-'WEEKLY INPUT'!S97)*0.10)*$R97*$S97*0.975)</f>
        <v/>
      </c>
      <c r="W97" s="5">
        <f>IF($A97="","",$T97*(1+($3-'WEEKLY INPUT'!T97)*0.10)*$R97*$S97*0.95)</f>
        <v/>
      </c>
      <c r="X97" s="5">
        <f>IF($A97="","",$T97*(1+($3-'WEEKLY INPUT'!U97)*0.10)*$R97*$S97*0.925)</f>
        <v/>
      </c>
      <c r="Y97" s="5">
        <f>IF($A97="","",$T97*(1+($3-'WEEKLY INPUT'!V97)*0.10)*$R97*$S97*0.9)</f>
        <v/>
      </c>
      <c r="Z97" s="5">
        <f>IF($A97="","",$T97*(1+($3-'WEEKLY INPUT'!W97)*0.10)*$R97*$S97*0.875)</f>
        <v/>
      </c>
      <c r="AA97" s="5">
        <f>IF($A97="","",$T97*(1+($3-'WEEKLY INPUT'!X97)*0.10)*$R97*$S97*0.85)</f>
        <v/>
      </c>
      <c r="AB97" s="5">
        <f>IF($A97="","",$T97*(1+($3-'WEEKLY INPUT'!Y97)*0.10)*$R97*$S97*0.825)</f>
        <v/>
      </c>
      <c r="AC97" s="5">
        <f>SUM(U97:AB97)</f>
        <v/>
      </c>
      <c r="AD97" s="5">
        <f>SUM(U97:Z97)</f>
        <v/>
      </c>
      <c r="AE97" s="5">
        <f>IFERROR(AD97/D97,0)</f>
        <v/>
      </c>
      <c r="AF97" s="5">
        <f>MAX(0,1-R97)</f>
        <v/>
      </c>
      <c r="AG97" s="5">
        <f>IFERROR((H97+I97)*R97*(1+0.10*(3-'WEEKLY INPUT'!R97)),"")</f>
        <v/>
      </c>
      <c r="AH97" s="5">
        <f>IFERROR(AG97/SUMPRODUCT($AG$6:$AG$205),"")</f>
        <v/>
      </c>
      <c r="AI97" s="5">
        <f>IFERROR(AD97*(1-AF97*0.5)*(1+0.15*AE97),0)</f>
        <v/>
      </c>
      <c r="AJ97" s="5">
        <f>IF(A97="","",RANK(AI97,$AI$6:$AI$205,0))</f>
        <v/>
      </c>
      <c r="AK97" s="5">
        <f>IFERROR('WEEKLY INPUT'!Z97,"")</f>
        <v/>
      </c>
    </row>
    <row r="98">
      <c r="A98" s="5">
        <f>IFERROR('WEEKLY INPUT'!A98,"")</f>
        <v/>
      </c>
      <c r="B98" s="5">
        <f>IFERROR('WEEKLY INPUT'!B98,"")</f>
        <v/>
      </c>
      <c r="C98" s="5">
        <f>IFERROR('WEEKLY INPUT'!C98,"")</f>
        <v/>
      </c>
      <c r="D98" s="5">
        <f>IFERROR('WEEKLY INPUT'!D98,0)</f>
        <v/>
      </c>
      <c r="E98" s="5">
        <f>IFERROR('WEEKLY INPUT'!E98,0)</f>
        <v/>
      </c>
      <c r="F98" s="5">
        <f>IFERROR('WEEKLY INPUT'!F98,0)</f>
        <v/>
      </c>
      <c r="G98" s="5">
        <f>IFERROR('WEEKLY INPUT'!Q98,0)</f>
        <v/>
      </c>
      <c r="H98" s="5">
        <f>IFERROR('WEEKLY INPUT'!H98/'WEEKLY INPUT'!F98*90,0)</f>
        <v/>
      </c>
      <c r="I98" s="5">
        <f>IFERROR('WEEKLY INPUT'!I98/'WEEKLY INPUT'!F98*90,0)</f>
        <v/>
      </c>
      <c r="J98" s="5">
        <f>H98+I98</f>
        <v/>
      </c>
      <c r="K98" s="5">
        <f>IFERROR('WEEKLY INPUT'!J98/'WEEKLY INPUT'!F98*90,0)</f>
        <v/>
      </c>
      <c r="L98" s="5">
        <f>IFERROR('WEEKLY INPUT'!K98/'WEEKLY INPUT'!F98*90,0)</f>
        <v/>
      </c>
      <c r="M98" s="5">
        <f>IFERROR('WEEKLY INPUT'!L98/'WEEKLY INPUT'!F98*90,0)</f>
        <v/>
      </c>
      <c r="N98" s="5">
        <f>IFERROR('WEEKLY INPUT'!M98/'WEEKLY INPUT'!F98*90,0)</f>
        <v/>
      </c>
      <c r="O98" s="5">
        <f>IFERROR('WEEKLY INPUT'!N98/'WEEKLY INPUT'!F98*90,0)</f>
        <v/>
      </c>
      <c r="P98" s="5">
        <f>IFERROR('WEEKLY INPUT'!O98/'WEEKLY INPUT'!F98*90,0)</f>
        <v/>
      </c>
      <c r="Q98" s="5">
        <f>IFERROR(('WEEKLY INPUT'!J98*2+'WEEKLY INPUT'!K98*1+'WEEKLY INPUT'!O98*0.2)/'WEEKLY INPUT'!F98,0)</f>
        <v/>
      </c>
      <c r="R98" s="5">
        <f>MAX(0.25,MIN(1.15,(F98/540)*0.5+G98*0.5))</f>
        <v/>
      </c>
      <c r="S98" s="5">
        <f>MAX(0.70,MIN(1.10,0.85+0.15*G98))</f>
        <v/>
      </c>
      <c r="T98" s="5">
        <f>IF(A98="","",2*('WEEKLY INPUT'!P98/90)+(H98*5+I98*3)*('WEEKLY INPUT'!P98/90)+(P98*0.15)*('WEEKLY INPUT'!P98/90)+Q98*0.25)</f>
        <v/>
      </c>
      <c r="U98" s="5">
        <f>IF($A98="","",$T98*(1+($3-'WEEKLY INPUT'!R98)*0.10)*$R98*$S98*1.0)</f>
        <v/>
      </c>
      <c r="V98" s="5">
        <f>IF($A98="","",$T98*(1+($3-'WEEKLY INPUT'!S98)*0.10)*$R98*$S98*0.975)</f>
        <v/>
      </c>
      <c r="W98" s="5">
        <f>IF($A98="","",$T98*(1+($3-'WEEKLY INPUT'!T98)*0.10)*$R98*$S98*0.95)</f>
        <v/>
      </c>
      <c r="X98" s="5">
        <f>IF($A98="","",$T98*(1+($3-'WEEKLY INPUT'!U98)*0.10)*$R98*$S98*0.925)</f>
        <v/>
      </c>
      <c r="Y98" s="5">
        <f>IF($A98="","",$T98*(1+($3-'WEEKLY INPUT'!V98)*0.10)*$R98*$S98*0.9)</f>
        <v/>
      </c>
      <c r="Z98" s="5">
        <f>IF($A98="","",$T98*(1+($3-'WEEKLY INPUT'!W98)*0.10)*$R98*$S98*0.875)</f>
        <v/>
      </c>
      <c r="AA98" s="5">
        <f>IF($A98="","",$T98*(1+($3-'WEEKLY INPUT'!X98)*0.10)*$R98*$S98*0.85)</f>
        <v/>
      </c>
      <c r="AB98" s="5">
        <f>IF($A98="","",$T98*(1+($3-'WEEKLY INPUT'!Y98)*0.10)*$R98*$S98*0.825)</f>
        <v/>
      </c>
      <c r="AC98" s="5">
        <f>SUM(U98:AB98)</f>
        <v/>
      </c>
      <c r="AD98" s="5">
        <f>SUM(U98:Z98)</f>
        <v/>
      </c>
      <c r="AE98" s="5">
        <f>IFERROR(AD98/D98,0)</f>
        <v/>
      </c>
      <c r="AF98" s="5">
        <f>MAX(0,1-R98)</f>
        <v/>
      </c>
      <c r="AG98" s="5">
        <f>IFERROR((H98+I98)*R98*(1+0.10*(3-'WEEKLY INPUT'!R98)),"")</f>
        <v/>
      </c>
      <c r="AH98" s="5">
        <f>IFERROR(AG98/SUMPRODUCT($AG$6:$AG$205),"")</f>
        <v/>
      </c>
      <c r="AI98" s="5">
        <f>IFERROR(AD98*(1-AF98*0.5)*(1+0.15*AE98),0)</f>
        <v/>
      </c>
      <c r="AJ98" s="5">
        <f>IF(A98="","",RANK(AI98,$AI$6:$AI$205,0))</f>
        <v/>
      </c>
      <c r="AK98" s="5">
        <f>IFERROR('WEEKLY INPUT'!Z98,"")</f>
        <v/>
      </c>
    </row>
    <row r="99">
      <c r="A99" s="5">
        <f>IFERROR('WEEKLY INPUT'!A99,"")</f>
        <v/>
      </c>
      <c r="B99" s="5">
        <f>IFERROR('WEEKLY INPUT'!B99,"")</f>
        <v/>
      </c>
      <c r="C99" s="5">
        <f>IFERROR('WEEKLY INPUT'!C99,"")</f>
        <v/>
      </c>
      <c r="D99" s="5">
        <f>IFERROR('WEEKLY INPUT'!D99,0)</f>
        <v/>
      </c>
      <c r="E99" s="5">
        <f>IFERROR('WEEKLY INPUT'!E99,0)</f>
        <v/>
      </c>
      <c r="F99" s="5">
        <f>IFERROR('WEEKLY INPUT'!F99,0)</f>
        <v/>
      </c>
      <c r="G99" s="5">
        <f>IFERROR('WEEKLY INPUT'!Q99,0)</f>
        <v/>
      </c>
      <c r="H99" s="5">
        <f>IFERROR('WEEKLY INPUT'!H99/'WEEKLY INPUT'!F99*90,0)</f>
        <v/>
      </c>
      <c r="I99" s="5">
        <f>IFERROR('WEEKLY INPUT'!I99/'WEEKLY INPUT'!F99*90,0)</f>
        <v/>
      </c>
      <c r="J99" s="5">
        <f>H99+I99</f>
        <v/>
      </c>
      <c r="K99" s="5">
        <f>IFERROR('WEEKLY INPUT'!J99/'WEEKLY INPUT'!F99*90,0)</f>
        <v/>
      </c>
      <c r="L99" s="5">
        <f>IFERROR('WEEKLY INPUT'!K99/'WEEKLY INPUT'!F99*90,0)</f>
        <v/>
      </c>
      <c r="M99" s="5">
        <f>IFERROR('WEEKLY INPUT'!L99/'WEEKLY INPUT'!F99*90,0)</f>
        <v/>
      </c>
      <c r="N99" s="5">
        <f>IFERROR('WEEKLY INPUT'!M99/'WEEKLY INPUT'!F99*90,0)</f>
        <v/>
      </c>
      <c r="O99" s="5">
        <f>IFERROR('WEEKLY INPUT'!N99/'WEEKLY INPUT'!F99*90,0)</f>
        <v/>
      </c>
      <c r="P99" s="5">
        <f>IFERROR('WEEKLY INPUT'!O99/'WEEKLY INPUT'!F99*90,0)</f>
        <v/>
      </c>
      <c r="Q99" s="5">
        <f>IFERROR(('WEEKLY INPUT'!J99*2+'WEEKLY INPUT'!K99*1+'WEEKLY INPUT'!O99*0.2)/'WEEKLY INPUT'!F99,0)</f>
        <v/>
      </c>
      <c r="R99" s="5">
        <f>MAX(0.25,MIN(1.15,(F99/540)*0.5+G99*0.5))</f>
        <v/>
      </c>
      <c r="S99" s="5">
        <f>MAX(0.70,MIN(1.10,0.85+0.15*G99))</f>
        <v/>
      </c>
      <c r="T99" s="5">
        <f>IF(A99="","",2*('WEEKLY INPUT'!P99/90)+(H99*5+I99*3)*('WEEKLY INPUT'!P99/90)+(P99*0.15)*('WEEKLY INPUT'!P99/90)+Q99*0.25)</f>
        <v/>
      </c>
      <c r="U99" s="5">
        <f>IF($A99="","",$T99*(1+($3-'WEEKLY INPUT'!R99)*0.10)*$R99*$S99*1.0)</f>
        <v/>
      </c>
      <c r="V99" s="5">
        <f>IF($A99="","",$T99*(1+($3-'WEEKLY INPUT'!S99)*0.10)*$R99*$S99*0.975)</f>
        <v/>
      </c>
      <c r="W99" s="5">
        <f>IF($A99="","",$T99*(1+($3-'WEEKLY INPUT'!T99)*0.10)*$R99*$S99*0.95)</f>
        <v/>
      </c>
      <c r="X99" s="5">
        <f>IF($A99="","",$T99*(1+($3-'WEEKLY INPUT'!U99)*0.10)*$R99*$S99*0.925)</f>
        <v/>
      </c>
      <c r="Y99" s="5">
        <f>IF($A99="","",$T99*(1+($3-'WEEKLY INPUT'!V99)*0.10)*$R99*$S99*0.9)</f>
        <v/>
      </c>
      <c r="Z99" s="5">
        <f>IF($A99="","",$T99*(1+($3-'WEEKLY INPUT'!W99)*0.10)*$R99*$S99*0.875)</f>
        <v/>
      </c>
      <c r="AA99" s="5">
        <f>IF($A99="","",$T99*(1+($3-'WEEKLY INPUT'!X99)*0.10)*$R99*$S99*0.85)</f>
        <v/>
      </c>
      <c r="AB99" s="5">
        <f>IF($A99="","",$T99*(1+($3-'WEEKLY INPUT'!Y99)*0.10)*$R99*$S99*0.825)</f>
        <v/>
      </c>
      <c r="AC99" s="5">
        <f>SUM(U99:AB99)</f>
        <v/>
      </c>
      <c r="AD99" s="5">
        <f>SUM(U99:Z99)</f>
        <v/>
      </c>
      <c r="AE99" s="5">
        <f>IFERROR(AD99/D99,0)</f>
        <v/>
      </c>
      <c r="AF99" s="5">
        <f>MAX(0,1-R99)</f>
        <v/>
      </c>
      <c r="AG99" s="5">
        <f>IFERROR((H99+I99)*R99*(1+0.10*(3-'WEEKLY INPUT'!R99)),"")</f>
        <v/>
      </c>
      <c r="AH99" s="5">
        <f>IFERROR(AG99/SUMPRODUCT($AG$6:$AG$205),"")</f>
        <v/>
      </c>
      <c r="AI99" s="5">
        <f>IFERROR(AD99*(1-AF99*0.5)*(1+0.15*AE99),0)</f>
        <v/>
      </c>
      <c r="AJ99" s="5">
        <f>IF(A99="","",RANK(AI99,$AI$6:$AI$205,0))</f>
        <v/>
      </c>
      <c r="AK99" s="5">
        <f>IFERROR('WEEKLY INPUT'!Z99,"")</f>
        <v/>
      </c>
    </row>
    <row r="100">
      <c r="A100" s="5">
        <f>IFERROR('WEEKLY INPUT'!A100,"")</f>
        <v/>
      </c>
      <c r="B100" s="5">
        <f>IFERROR('WEEKLY INPUT'!B100,"")</f>
        <v/>
      </c>
      <c r="C100" s="5">
        <f>IFERROR('WEEKLY INPUT'!C100,"")</f>
        <v/>
      </c>
      <c r="D100" s="5">
        <f>IFERROR('WEEKLY INPUT'!D100,0)</f>
        <v/>
      </c>
      <c r="E100" s="5">
        <f>IFERROR('WEEKLY INPUT'!E100,0)</f>
        <v/>
      </c>
      <c r="F100" s="5">
        <f>IFERROR('WEEKLY INPUT'!F100,0)</f>
        <v/>
      </c>
      <c r="G100" s="5">
        <f>IFERROR('WEEKLY INPUT'!Q100,0)</f>
        <v/>
      </c>
      <c r="H100" s="5">
        <f>IFERROR('WEEKLY INPUT'!H100/'WEEKLY INPUT'!F100*90,0)</f>
        <v/>
      </c>
      <c r="I100" s="5">
        <f>IFERROR('WEEKLY INPUT'!I100/'WEEKLY INPUT'!F100*90,0)</f>
        <v/>
      </c>
      <c r="J100" s="5">
        <f>H100+I100</f>
        <v/>
      </c>
      <c r="K100" s="5">
        <f>IFERROR('WEEKLY INPUT'!J100/'WEEKLY INPUT'!F100*90,0)</f>
        <v/>
      </c>
      <c r="L100" s="5">
        <f>IFERROR('WEEKLY INPUT'!K100/'WEEKLY INPUT'!F100*90,0)</f>
        <v/>
      </c>
      <c r="M100" s="5">
        <f>IFERROR('WEEKLY INPUT'!L100/'WEEKLY INPUT'!F100*90,0)</f>
        <v/>
      </c>
      <c r="N100" s="5">
        <f>IFERROR('WEEKLY INPUT'!M100/'WEEKLY INPUT'!F100*90,0)</f>
        <v/>
      </c>
      <c r="O100" s="5">
        <f>IFERROR('WEEKLY INPUT'!N100/'WEEKLY INPUT'!F100*90,0)</f>
        <v/>
      </c>
      <c r="P100" s="5">
        <f>IFERROR('WEEKLY INPUT'!O100/'WEEKLY INPUT'!F100*90,0)</f>
        <v/>
      </c>
      <c r="Q100" s="5">
        <f>IFERROR(('WEEKLY INPUT'!J100*2+'WEEKLY INPUT'!K100*1+'WEEKLY INPUT'!O100*0.2)/'WEEKLY INPUT'!F100,0)</f>
        <v/>
      </c>
      <c r="R100" s="5">
        <f>MAX(0.25,MIN(1.15,(F100/540)*0.5+G100*0.5))</f>
        <v/>
      </c>
      <c r="S100" s="5">
        <f>MAX(0.70,MIN(1.10,0.85+0.15*G100))</f>
        <v/>
      </c>
      <c r="T100" s="5">
        <f>IF(A100="","",2*('WEEKLY INPUT'!P100/90)+(H100*5+I100*3)*('WEEKLY INPUT'!P100/90)+(P100*0.15)*('WEEKLY INPUT'!P100/90)+Q100*0.25)</f>
        <v/>
      </c>
      <c r="U100" s="5">
        <f>IF($A100="","",$T100*(1+($3-'WEEKLY INPUT'!R100)*0.10)*$R100*$S100*1.0)</f>
        <v/>
      </c>
      <c r="V100" s="5">
        <f>IF($A100="","",$T100*(1+($3-'WEEKLY INPUT'!S100)*0.10)*$R100*$S100*0.975)</f>
        <v/>
      </c>
      <c r="W100" s="5">
        <f>IF($A100="","",$T100*(1+($3-'WEEKLY INPUT'!T100)*0.10)*$R100*$S100*0.95)</f>
        <v/>
      </c>
      <c r="X100" s="5">
        <f>IF($A100="","",$T100*(1+($3-'WEEKLY INPUT'!U100)*0.10)*$R100*$S100*0.925)</f>
        <v/>
      </c>
      <c r="Y100" s="5">
        <f>IF($A100="","",$T100*(1+($3-'WEEKLY INPUT'!V100)*0.10)*$R100*$S100*0.9)</f>
        <v/>
      </c>
      <c r="Z100" s="5">
        <f>IF($A100="","",$T100*(1+($3-'WEEKLY INPUT'!W100)*0.10)*$R100*$S100*0.875)</f>
        <v/>
      </c>
      <c r="AA100" s="5">
        <f>IF($A100="","",$T100*(1+($3-'WEEKLY INPUT'!X100)*0.10)*$R100*$S100*0.85)</f>
        <v/>
      </c>
      <c r="AB100" s="5">
        <f>IF($A100="","",$T100*(1+($3-'WEEKLY INPUT'!Y100)*0.10)*$R100*$S100*0.825)</f>
        <v/>
      </c>
      <c r="AC100" s="5">
        <f>SUM(U100:AB100)</f>
        <v/>
      </c>
      <c r="AD100" s="5">
        <f>SUM(U100:Z100)</f>
        <v/>
      </c>
      <c r="AE100" s="5">
        <f>IFERROR(AD100/D100,0)</f>
        <v/>
      </c>
      <c r="AF100" s="5">
        <f>MAX(0,1-R100)</f>
        <v/>
      </c>
      <c r="AG100" s="5">
        <f>IFERROR((H100+I100)*R100*(1+0.10*(3-'WEEKLY INPUT'!R100)),"")</f>
        <v/>
      </c>
      <c r="AH100" s="5">
        <f>IFERROR(AG100/SUMPRODUCT($AG$6:$AG$205),"")</f>
        <v/>
      </c>
      <c r="AI100" s="5">
        <f>IFERROR(AD100*(1-AF100*0.5)*(1+0.15*AE100),0)</f>
        <v/>
      </c>
      <c r="AJ100" s="5">
        <f>IF(A100="","",RANK(AI100,$AI$6:$AI$205,0))</f>
        <v/>
      </c>
      <c r="AK100" s="5">
        <f>IFERROR('WEEKLY INPUT'!Z100,"")</f>
        <v/>
      </c>
    </row>
    <row r="101">
      <c r="A101" s="5">
        <f>IFERROR('WEEKLY INPUT'!A101,"")</f>
        <v/>
      </c>
      <c r="B101" s="5">
        <f>IFERROR('WEEKLY INPUT'!B101,"")</f>
        <v/>
      </c>
      <c r="C101" s="5">
        <f>IFERROR('WEEKLY INPUT'!C101,"")</f>
        <v/>
      </c>
      <c r="D101" s="5">
        <f>IFERROR('WEEKLY INPUT'!D101,0)</f>
        <v/>
      </c>
      <c r="E101" s="5">
        <f>IFERROR('WEEKLY INPUT'!E101,0)</f>
        <v/>
      </c>
      <c r="F101" s="5">
        <f>IFERROR('WEEKLY INPUT'!F101,0)</f>
        <v/>
      </c>
      <c r="G101" s="5">
        <f>IFERROR('WEEKLY INPUT'!Q101,0)</f>
        <v/>
      </c>
      <c r="H101" s="5">
        <f>IFERROR('WEEKLY INPUT'!H101/'WEEKLY INPUT'!F101*90,0)</f>
        <v/>
      </c>
      <c r="I101" s="5">
        <f>IFERROR('WEEKLY INPUT'!I101/'WEEKLY INPUT'!F101*90,0)</f>
        <v/>
      </c>
      <c r="J101" s="5">
        <f>H101+I101</f>
        <v/>
      </c>
      <c r="K101" s="5">
        <f>IFERROR('WEEKLY INPUT'!J101/'WEEKLY INPUT'!F101*90,0)</f>
        <v/>
      </c>
      <c r="L101" s="5">
        <f>IFERROR('WEEKLY INPUT'!K101/'WEEKLY INPUT'!F101*90,0)</f>
        <v/>
      </c>
      <c r="M101" s="5">
        <f>IFERROR('WEEKLY INPUT'!L101/'WEEKLY INPUT'!F101*90,0)</f>
        <v/>
      </c>
      <c r="N101" s="5">
        <f>IFERROR('WEEKLY INPUT'!M101/'WEEKLY INPUT'!F101*90,0)</f>
        <v/>
      </c>
      <c r="O101" s="5">
        <f>IFERROR('WEEKLY INPUT'!N101/'WEEKLY INPUT'!F101*90,0)</f>
        <v/>
      </c>
      <c r="P101" s="5">
        <f>IFERROR('WEEKLY INPUT'!O101/'WEEKLY INPUT'!F101*90,0)</f>
        <v/>
      </c>
      <c r="Q101" s="5">
        <f>IFERROR(('WEEKLY INPUT'!J101*2+'WEEKLY INPUT'!K101*1+'WEEKLY INPUT'!O101*0.2)/'WEEKLY INPUT'!F101,0)</f>
        <v/>
      </c>
      <c r="R101" s="5">
        <f>MAX(0.25,MIN(1.15,(F101/540)*0.5+G101*0.5))</f>
        <v/>
      </c>
      <c r="S101" s="5">
        <f>MAX(0.70,MIN(1.10,0.85+0.15*G101))</f>
        <v/>
      </c>
      <c r="T101" s="5">
        <f>IF(A101="","",2*('WEEKLY INPUT'!P101/90)+(H101*5+I101*3)*('WEEKLY INPUT'!P101/90)+(P101*0.15)*('WEEKLY INPUT'!P101/90)+Q101*0.25)</f>
        <v/>
      </c>
      <c r="U101" s="5">
        <f>IF($A101="","",$T101*(1+($3-'WEEKLY INPUT'!R101)*0.10)*$R101*$S101*1.0)</f>
        <v/>
      </c>
      <c r="V101" s="5">
        <f>IF($A101="","",$T101*(1+($3-'WEEKLY INPUT'!S101)*0.10)*$R101*$S101*0.975)</f>
        <v/>
      </c>
      <c r="W101" s="5">
        <f>IF($A101="","",$T101*(1+($3-'WEEKLY INPUT'!T101)*0.10)*$R101*$S101*0.95)</f>
        <v/>
      </c>
      <c r="X101" s="5">
        <f>IF($A101="","",$T101*(1+($3-'WEEKLY INPUT'!U101)*0.10)*$R101*$S101*0.925)</f>
        <v/>
      </c>
      <c r="Y101" s="5">
        <f>IF($A101="","",$T101*(1+($3-'WEEKLY INPUT'!V101)*0.10)*$R101*$S101*0.9)</f>
        <v/>
      </c>
      <c r="Z101" s="5">
        <f>IF($A101="","",$T101*(1+($3-'WEEKLY INPUT'!W101)*0.10)*$R101*$S101*0.875)</f>
        <v/>
      </c>
      <c r="AA101" s="5">
        <f>IF($A101="","",$T101*(1+($3-'WEEKLY INPUT'!X101)*0.10)*$R101*$S101*0.85)</f>
        <v/>
      </c>
      <c r="AB101" s="5">
        <f>IF($A101="","",$T101*(1+($3-'WEEKLY INPUT'!Y101)*0.10)*$R101*$S101*0.825)</f>
        <v/>
      </c>
      <c r="AC101" s="5">
        <f>SUM(U101:AB101)</f>
        <v/>
      </c>
      <c r="AD101" s="5">
        <f>SUM(U101:Z101)</f>
        <v/>
      </c>
      <c r="AE101" s="5">
        <f>IFERROR(AD101/D101,0)</f>
        <v/>
      </c>
      <c r="AF101" s="5">
        <f>MAX(0,1-R101)</f>
        <v/>
      </c>
      <c r="AG101" s="5">
        <f>IFERROR((H101+I101)*R101*(1+0.10*(3-'WEEKLY INPUT'!R101)),"")</f>
        <v/>
      </c>
      <c r="AH101" s="5">
        <f>IFERROR(AG101/SUMPRODUCT($AG$6:$AG$205),"")</f>
        <v/>
      </c>
      <c r="AI101" s="5">
        <f>IFERROR(AD101*(1-AF101*0.5)*(1+0.15*AE101),0)</f>
        <v/>
      </c>
      <c r="AJ101" s="5">
        <f>IF(A101="","",RANK(AI101,$AI$6:$AI$205,0))</f>
        <v/>
      </c>
      <c r="AK101" s="5">
        <f>IFERROR('WEEKLY INPUT'!Z101,"")</f>
        <v/>
      </c>
    </row>
    <row r="102">
      <c r="A102" s="5">
        <f>IFERROR('WEEKLY INPUT'!A102,"")</f>
        <v/>
      </c>
      <c r="B102" s="5">
        <f>IFERROR('WEEKLY INPUT'!B102,"")</f>
        <v/>
      </c>
      <c r="C102" s="5">
        <f>IFERROR('WEEKLY INPUT'!C102,"")</f>
        <v/>
      </c>
      <c r="D102" s="5">
        <f>IFERROR('WEEKLY INPUT'!D102,0)</f>
        <v/>
      </c>
      <c r="E102" s="5">
        <f>IFERROR('WEEKLY INPUT'!E102,0)</f>
        <v/>
      </c>
      <c r="F102" s="5">
        <f>IFERROR('WEEKLY INPUT'!F102,0)</f>
        <v/>
      </c>
      <c r="G102" s="5">
        <f>IFERROR('WEEKLY INPUT'!Q102,0)</f>
        <v/>
      </c>
      <c r="H102" s="5">
        <f>IFERROR('WEEKLY INPUT'!H102/'WEEKLY INPUT'!F102*90,0)</f>
        <v/>
      </c>
      <c r="I102" s="5">
        <f>IFERROR('WEEKLY INPUT'!I102/'WEEKLY INPUT'!F102*90,0)</f>
        <v/>
      </c>
      <c r="J102" s="5">
        <f>H102+I102</f>
        <v/>
      </c>
      <c r="K102" s="5">
        <f>IFERROR('WEEKLY INPUT'!J102/'WEEKLY INPUT'!F102*90,0)</f>
        <v/>
      </c>
      <c r="L102" s="5">
        <f>IFERROR('WEEKLY INPUT'!K102/'WEEKLY INPUT'!F102*90,0)</f>
        <v/>
      </c>
      <c r="M102" s="5">
        <f>IFERROR('WEEKLY INPUT'!L102/'WEEKLY INPUT'!F102*90,0)</f>
        <v/>
      </c>
      <c r="N102" s="5">
        <f>IFERROR('WEEKLY INPUT'!M102/'WEEKLY INPUT'!F102*90,0)</f>
        <v/>
      </c>
      <c r="O102" s="5">
        <f>IFERROR('WEEKLY INPUT'!N102/'WEEKLY INPUT'!F102*90,0)</f>
        <v/>
      </c>
      <c r="P102" s="5">
        <f>IFERROR('WEEKLY INPUT'!O102/'WEEKLY INPUT'!F102*90,0)</f>
        <v/>
      </c>
      <c r="Q102" s="5">
        <f>IFERROR(('WEEKLY INPUT'!J102*2+'WEEKLY INPUT'!K102*1+'WEEKLY INPUT'!O102*0.2)/'WEEKLY INPUT'!F102,0)</f>
        <v/>
      </c>
      <c r="R102" s="5">
        <f>MAX(0.25,MIN(1.15,(F102/540)*0.5+G102*0.5))</f>
        <v/>
      </c>
      <c r="S102" s="5">
        <f>MAX(0.70,MIN(1.10,0.85+0.15*G102))</f>
        <v/>
      </c>
      <c r="T102" s="5">
        <f>IF(A102="","",2*('WEEKLY INPUT'!P102/90)+(H102*5+I102*3)*('WEEKLY INPUT'!P102/90)+(P102*0.15)*('WEEKLY INPUT'!P102/90)+Q102*0.25)</f>
        <v/>
      </c>
      <c r="U102" s="5">
        <f>IF($A102="","",$T102*(1+($3-'WEEKLY INPUT'!R102)*0.10)*$R102*$S102*1.0)</f>
        <v/>
      </c>
      <c r="V102" s="5">
        <f>IF($A102="","",$T102*(1+($3-'WEEKLY INPUT'!S102)*0.10)*$R102*$S102*0.975)</f>
        <v/>
      </c>
      <c r="W102" s="5">
        <f>IF($A102="","",$T102*(1+($3-'WEEKLY INPUT'!T102)*0.10)*$R102*$S102*0.95)</f>
        <v/>
      </c>
      <c r="X102" s="5">
        <f>IF($A102="","",$T102*(1+($3-'WEEKLY INPUT'!U102)*0.10)*$R102*$S102*0.925)</f>
        <v/>
      </c>
      <c r="Y102" s="5">
        <f>IF($A102="","",$T102*(1+($3-'WEEKLY INPUT'!V102)*0.10)*$R102*$S102*0.9)</f>
        <v/>
      </c>
      <c r="Z102" s="5">
        <f>IF($A102="","",$T102*(1+($3-'WEEKLY INPUT'!W102)*0.10)*$R102*$S102*0.875)</f>
        <v/>
      </c>
      <c r="AA102" s="5">
        <f>IF($A102="","",$T102*(1+($3-'WEEKLY INPUT'!X102)*0.10)*$R102*$S102*0.85)</f>
        <v/>
      </c>
      <c r="AB102" s="5">
        <f>IF($A102="","",$T102*(1+($3-'WEEKLY INPUT'!Y102)*0.10)*$R102*$S102*0.825)</f>
        <v/>
      </c>
      <c r="AC102" s="5">
        <f>SUM(U102:AB102)</f>
        <v/>
      </c>
      <c r="AD102" s="5">
        <f>SUM(U102:Z102)</f>
        <v/>
      </c>
      <c r="AE102" s="5">
        <f>IFERROR(AD102/D102,0)</f>
        <v/>
      </c>
      <c r="AF102" s="5">
        <f>MAX(0,1-R102)</f>
        <v/>
      </c>
      <c r="AG102" s="5">
        <f>IFERROR((H102+I102)*R102*(1+0.10*(3-'WEEKLY INPUT'!R102)),"")</f>
        <v/>
      </c>
      <c r="AH102" s="5">
        <f>IFERROR(AG102/SUMPRODUCT($AG$6:$AG$205),"")</f>
        <v/>
      </c>
      <c r="AI102" s="5">
        <f>IFERROR(AD102*(1-AF102*0.5)*(1+0.15*AE102),0)</f>
        <v/>
      </c>
      <c r="AJ102" s="5">
        <f>IF(A102="","",RANK(AI102,$AI$6:$AI$205,0))</f>
        <v/>
      </c>
      <c r="AK102" s="5">
        <f>IFERROR('WEEKLY INPUT'!Z102,"")</f>
        <v/>
      </c>
    </row>
    <row r="103">
      <c r="A103" s="5">
        <f>IFERROR('WEEKLY INPUT'!A103,"")</f>
        <v/>
      </c>
      <c r="B103" s="5">
        <f>IFERROR('WEEKLY INPUT'!B103,"")</f>
        <v/>
      </c>
      <c r="C103" s="5">
        <f>IFERROR('WEEKLY INPUT'!C103,"")</f>
        <v/>
      </c>
      <c r="D103" s="5">
        <f>IFERROR('WEEKLY INPUT'!D103,0)</f>
        <v/>
      </c>
      <c r="E103" s="5">
        <f>IFERROR('WEEKLY INPUT'!E103,0)</f>
        <v/>
      </c>
      <c r="F103" s="5">
        <f>IFERROR('WEEKLY INPUT'!F103,0)</f>
        <v/>
      </c>
      <c r="G103" s="5">
        <f>IFERROR('WEEKLY INPUT'!Q103,0)</f>
        <v/>
      </c>
      <c r="H103" s="5">
        <f>IFERROR('WEEKLY INPUT'!H103/'WEEKLY INPUT'!F103*90,0)</f>
        <v/>
      </c>
      <c r="I103" s="5">
        <f>IFERROR('WEEKLY INPUT'!I103/'WEEKLY INPUT'!F103*90,0)</f>
        <v/>
      </c>
      <c r="J103" s="5">
        <f>H103+I103</f>
        <v/>
      </c>
      <c r="K103" s="5">
        <f>IFERROR('WEEKLY INPUT'!J103/'WEEKLY INPUT'!F103*90,0)</f>
        <v/>
      </c>
      <c r="L103" s="5">
        <f>IFERROR('WEEKLY INPUT'!K103/'WEEKLY INPUT'!F103*90,0)</f>
        <v/>
      </c>
      <c r="M103" s="5">
        <f>IFERROR('WEEKLY INPUT'!L103/'WEEKLY INPUT'!F103*90,0)</f>
        <v/>
      </c>
      <c r="N103" s="5">
        <f>IFERROR('WEEKLY INPUT'!M103/'WEEKLY INPUT'!F103*90,0)</f>
        <v/>
      </c>
      <c r="O103" s="5">
        <f>IFERROR('WEEKLY INPUT'!N103/'WEEKLY INPUT'!F103*90,0)</f>
        <v/>
      </c>
      <c r="P103" s="5">
        <f>IFERROR('WEEKLY INPUT'!O103/'WEEKLY INPUT'!F103*90,0)</f>
        <v/>
      </c>
      <c r="Q103" s="5">
        <f>IFERROR(('WEEKLY INPUT'!J103*2+'WEEKLY INPUT'!K103*1+'WEEKLY INPUT'!O103*0.2)/'WEEKLY INPUT'!F103,0)</f>
        <v/>
      </c>
      <c r="R103" s="5">
        <f>MAX(0.25,MIN(1.15,(F103/540)*0.5+G103*0.5))</f>
        <v/>
      </c>
      <c r="S103" s="5">
        <f>MAX(0.70,MIN(1.10,0.85+0.15*G103))</f>
        <v/>
      </c>
      <c r="T103" s="5">
        <f>IF(A103="","",2*('WEEKLY INPUT'!P103/90)+(H103*5+I103*3)*('WEEKLY INPUT'!P103/90)+(P103*0.15)*('WEEKLY INPUT'!P103/90)+Q103*0.25)</f>
        <v/>
      </c>
      <c r="U103" s="5">
        <f>IF($A103="","",$T103*(1+($3-'WEEKLY INPUT'!R103)*0.10)*$R103*$S103*1.0)</f>
        <v/>
      </c>
      <c r="V103" s="5">
        <f>IF($A103="","",$T103*(1+($3-'WEEKLY INPUT'!S103)*0.10)*$R103*$S103*0.975)</f>
        <v/>
      </c>
      <c r="W103" s="5">
        <f>IF($A103="","",$T103*(1+($3-'WEEKLY INPUT'!T103)*0.10)*$R103*$S103*0.95)</f>
        <v/>
      </c>
      <c r="X103" s="5">
        <f>IF($A103="","",$T103*(1+($3-'WEEKLY INPUT'!U103)*0.10)*$R103*$S103*0.925)</f>
        <v/>
      </c>
      <c r="Y103" s="5">
        <f>IF($A103="","",$T103*(1+($3-'WEEKLY INPUT'!V103)*0.10)*$R103*$S103*0.9)</f>
        <v/>
      </c>
      <c r="Z103" s="5">
        <f>IF($A103="","",$T103*(1+($3-'WEEKLY INPUT'!W103)*0.10)*$R103*$S103*0.875)</f>
        <v/>
      </c>
      <c r="AA103" s="5">
        <f>IF($A103="","",$T103*(1+($3-'WEEKLY INPUT'!X103)*0.10)*$R103*$S103*0.85)</f>
        <v/>
      </c>
      <c r="AB103" s="5">
        <f>IF($A103="","",$T103*(1+($3-'WEEKLY INPUT'!Y103)*0.10)*$R103*$S103*0.825)</f>
        <v/>
      </c>
      <c r="AC103" s="5">
        <f>SUM(U103:AB103)</f>
        <v/>
      </c>
      <c r="AD103" s="5">
        <f>SUM(U103:Z103)</f>
        <v/>
      </c>
      <c r="AE103" s="5">
        <f>IFERROR(AD103/D103,0)</f>
        <v/>
      </c>
      <c r="AF103" s="5">
        <f>MAX(0,1-R103)</f>
        <v/>
      </c>
      <c r="AG103" s="5">
        <f>IFERROR((H103+I103)*R103*(1+0.10*(3-'WEEKLY INPUT'!R103)),"")</f>
        <v/>
      </c>
      <c r="AH103" s="5">
        <f>IFERROR(AG103/SUMPRODUCT($AG$6:$AG$205),"")</f>
        <v/>
      </c>
      <c r="AI103" s="5">
        <f>IFERROR(AD103*(1-AF103*0.5)*(1+0.15*AE103),0)</f>
        <v/>
      </c>
      <c r="AJ103" s="5">
        <f>IF(A103="","",RANK(AI103,$AI$6:$AI$205,0))</f>
        <v/>
      </c>
      <c r="AK103" s="5">
        <f>IFERROR('WEEKLY INPUT'!Z103,"")</f>
        <v/>
      </c>
    </row>
    <row r="104">
      <c r="A104" s="5">
        <f>IFERROR('WEEKLY INPUT'!A104,"")</f>
        <v/>
      </c>
      <c r="B104" s="5">
        <f>IFERROR('WEEKLY INPUT'!B104,"")</f>
        <v/>
      </c>
      <c r="C104" s="5">
        <f>IFERROR('WEEKLY INPUT'!C104,"")</f>
        <v/>
      </c>
      <c r="D104" s="5">
        <f>IFERROR('WEEKLY INPUT'!D104,0)</f>
        <v/>
      </c>
      <c r="E104" s="5">
        <f>IFERROR('WEEKLY INPUT'!E104,0)</f>
        <v/>
      </c>
      <c r="F104" s="5">
        <f>IFERROR('WEEKLY INPUT'!F104,0)</f>
        <v/>
      </c>
      <c r="G104" s="5">
        <f>IFERROR('WEEKLY INPUT'!Q104,0)</f>
        <v/>
      </c>
      <c r="H104" s="5">
        <f>IFERROR('WEEKLY INPUT'!H104/'WEEKLY INPUT'!F104*90,0)</f>
        <v/>
      </c>
      <c r="I104" s="5">
        <f>IFERROR('WEEKLY INPUT'!I104/'WEEKLY INPUT'!F104*90,0)</f>
        <v/>
      </c>
      <c r="J104" s="5">
        <f>H104+I104</f>
        <v/>
      </c>
      <c r="K104" s="5">
        <f>IFERROR('WEEKLY INPUT'!J104/'WEEKLY INPUT'!F104*90,0)</f>
        <v/>
      </c>
      <c r="L104" s="5">
        <f>IFERROR('WEEKLY INPUT'!K104/'WEEKLY INPUT'!F104*90,0)</f>
        <v/>
      </c>
      <c r="M104" s="5">
        <f>IFERROR('WEEKLY INPUT'!L104/'WEEKLY INPUT'!F104*90,0)</f>
        <v/>
      </c>
      <c r="N104" s="5">
        <f>IFERROR('WEEKLY INPUT'!M104/'WEEKLY INPUT'!F104*90,0)</f>
        <v/>
      </c>
      <c r="O104" s="5">
        <f>IFERROR('WEEKLY INPUT'!N104/'WEEKLY INPUT'!F104*90,0)</f>
        <v/>
      </c>
      <c r="P104" s="5">
        <f>IFERROR('WEEKLY INPUT'!O104/'WEEKLY INPUT'!F104*90,0)</f>
        <v/>
      </c>
      <c r="Q104" s="5">
        <f>IFERROR(('WEEKLY INPUT'!J104*2+'WEEKLY INPUT'!K104*1+'WEEKLY INPUT'!O104*0.2)/'WEEKLY INPUT'!F104,0)</f>
        <v/>
      </c>
      <c r="R104" s="5">
        <f>MAX(0.25,MIN(1.15,(F104/540)*0.5+G104*0.5))</f>
        <v/>
      </c>
      <c r="S104" s="5">
        <f>MAX(0.70,MIN(1.10,0.85+0.15*G104))</f>
        <v/>
      </c>
      <c r="T104" s="5">
        <f>IF(A104="","",2*('WEEKLY INPUT'!P104/90)+(H104*5+I104*3)*('WEEKLY INPUT'!P104/90)+(P104*0.15)*('WEEKLY INPUT'!P104/90)+Q104*0.25)</f>
        <v/>
      </c>
      <c r="U104" s="5">
        <f>IF($A104="","",$T104*(1+($3-'WEEKLY INPUT'!R104)*0.10)*$R104*$S104*1.0)</f>
        <v/>
      </c>
      <c r="V104" s="5">
        <f>IF($A104="","",$T104*(1+($3-'WEEKLY INPUT'!S104)*0.10)*$R104*$S104*0.975)</f>
        <v/>
      </c>
      <c r="W104" s="5">
        <f>IF($A104="","",$T104*(1+($3-'WEEKLY INPUT'!T104)*0.10)*$R104*$S104*0.95)</f>
        <v/>
      </c>
      <c r="X104" s="5">
        <f>IF($A104="","",$T104*(1+($3-'WEEKLY INPUT'!U104)*0.10)*$R104*$S104*0.925)</f>
        <v/>
      </c>
      <c r="Y104" s="5">
        <f>IF($A104="","",$T104*(1+($3-'WEEKLY INPUT'!V104)*0.10)*$R104*$S104*0.9)</f>
        <v/>
      </c>
      <c r="Z104" s="5">
        <f>IF($A104="","",$T104*(1+($3-'WEEKLY INPUT'!W104)*0.10)*$R104*$S104*0.875)</f>
        <v/>
      </c>
      <c r="AA104" s="5">
        <f>IF($A104="","",$T104*(1+($3-'WEEKLY INPUT'!X104)*0.10)*$R104*$S104*0.85)</f>
        <v/>
      </c>
      <c r="AB104" s="5">
        <f>IF($A104="","",$T104*(1+($3-'WEEKLY INPUT'!Y104)*0.10)*$R104*$S104*0.825)</f>
        <v/>
      </c>
      <c r="AC104" s="5">
        <f>SUM(U104:AB104)</f>
        <v/>
      </c>
      <c r="AD104" s="5">
        <f>SUM(U104:Z104)</f>
        <v/>
      </c>
      <c r="AE104" s="5">
        <f>IFERROR(AD104/D104,0)</f>
        <v/>
      </c>
      <c r="AF104" s="5">
        <f>MAX(0,1-R104)</f>
        <v/>
      </c>
      <c r="AG104" s="5">
        <f>IFERROR((H104+I104)*R104*(1+0.10*(3-'WEEKLY INPUT'!R104)),"")</f>
        <v/>
      </c>
      <c r="AH104" s="5">
        <f>IFERROR(AG104/SUMPRODUCT($AG$6:$AG$205),"")</f>
        <v/>
      </c>
      <c r="AI104" s="5">
        <f>IFERROR(AD104*(1-AF104*0.5)*(1+0.15*AE104),0)</f>
        <v/>
      </c>
      <c r="AJ104" s="5">
        <f>IF(A104="","",RANK(AI104,$AI$6:$AI$205,0))</f>
        <v/>
      </c>
      <c r="AK104" s="5">
        <f>IFERROR('WEEKLY INPUT'!Z104,"")</f>
        <v/>
      </c>
    </row>
    <row r="105">
      <c r="A105" s="5">
        <f>IFERROR('WEEKLY INPUT'!A105,"")</f>
        <v/>
      </c>
      <c r="B105" s="5">
        <f>IFERROR('WEEKLY INPUT'!B105,"")</f>
        <v/>
      </c>
      <c r="C105" s="5">
        <f>IFERROR('WEEKLY INPUT'!C105,"")</f>
        <v/>
      </c>
      <c r="D105" s="5">
        <f>IFERROR('WEEKLY INPUT'!D105,0)</f>
        <v/>
      </c>
      <c r="E105" s="5">
        <f>IFERROR('WEEKLY INPUT'!E105,0)</f>
        <v/>
      </c>
      <c r="F105" s="5">
        <f>IFERROR('WEEKLY INPUT'!F105,0)</f>
        <v/>
      </c>
      <c r="G105" s="5">
        <f>IFERROR('WEEKLY INPUT'!Q105,0)</f>
        <v/>
      </c>
      <c r="H105" s="5">
        <f>IFERROR('WEEKLY INPUT'!H105/'WEEKLY INPUT'!F105*90,0)</f>
        <v/>
      </c>
      <c r="I105" s="5">
        <f>IFERROR('WEEKLY INPUT'!I105/'WEEKLY INPUT'!F105*90,0)</f>
        <v/>
      </c>
      <c r="J105" s="5">
        <f>H105+I105</f>
        <v/>
      </c>
      <c r="K105" s="5">
        <f>IFERROR('WEEKLY INPUT'!J105/'WEEKLY INPUT'!F105*90,0)</f>
        <v/>
      </c>
      <c r="L105" s="5">
        <f>IFERROR('WEEKLY INPUT'!K105/'WEEKLY INPUT'!F105*90,0)</f>
        <v/>
      </c>
      <c r="M105" s="5">
        <f>IFERROR('WEEKLY INPUT'!L105/'WEEKLY INPUT'!F105*90,0)</f>
        <v/>
      </c>
      <c r="N105" s="5">
        <f>IFERROR('WEEKLY INPUT'!M105/'WEEKLY INPUT'!F105*90,0)</f>
        <v/>
      </c>
      <c r="O105" s="5">
        <f>IFERROR('WEEKLY INPUT'!N105/'WEEKLY INPUT'!F105*90,0)</f>
        <v/>
      </c>
      <c r="P105" s="5">
        <f>IFERROR('WEEKLY INPUT'!O105/'WEEKLY INPUT'!F105*90,0)</f>
        <v/>
      </c>
      <c r="Q105" s="5">
        <f>IFERROR(('WEEKLY INPUT'!J105*2+'WEEKLY INPUT'!K105*1+'WEEKLY INPUT'!O105*0.2)/'WEEKLY INPUT'!F105,0)</f>
        <v/>
      </c>
      <c r="R105" s="5">
        <f>MAX(0.25,MIN(1.15,(F105/540)*0.5+G105*0.5))</f>
        <v/>
      </c>
      <c r="S105" s="5">
        <f>MAX(0.70,MIN(1.10,0.85+0.15*G105))</f>
        <v/>
      </c>
      <c r="T105" s="5">
        <f>IF(A105="","",2*('WEEKLY INPUT'!P105/90)+(H105*5+I105*3)*('WEEKLY INPUT'!P105/90)+(P105*0.15)*('WEEKLY INPUT'!P105/90)+Q105*0.25)</f>
        <v/>
      </c>
      <c r="U105" s="5">
        <f>IF($A105="","",$T105*(1+($3-'WEEKLY INPUT'!R105)*0.10)*$R105*$S105*1.0)</f>
        <v/>
      </c>
      <c r="V105" s="5">
        <f>IF($A105="","",$T105*(1+($3-'WEEKLY INPUT'!S105)*0.10)*$R105*$S105*0.975)</f>
        <v/>
      </c>
      <c r="W105" s="5">
        <f>IF($A105="","",$T105*(1+($3-'WEEKLY INPUT'!T105)*0.10)*$R105*$S105*0.95)</f>
        <v/>
      </c>
      <c r="X105" s="5">
        <f>IF($A105="","",$T105*(1+($3-'WEEKLY INPUT'!U105)*0.10)*$R105*$S105*0.925)</f>
        <v/>
      </c>
      <c r="Y105" s="5">
        <f>IF($A105="","",$T105*(1+($3-'WEEKLY INPUT'!V105)*0.10)*$R105*$S105*0.9)</f>
        <v/>
      </c>
      <c r="Z105" s="5">
        <f>IF($A105="","",$T105*(1+($3-'WEEKLY INPUT'!W105)*0.10)*$R105*$S105*0.875)</f>
        <v/>
      </c>
      <c r="AA105" s="5">
        <f>IF($A105="","",$T105*(1+($3-'WEEKLY INPUT'!X105)*0.10)*$R105*$S105*0.85)</f>
        <v/>
      </c>
      <c r="AB105" s="5">
        <f>IF($A105="","",$T105*(1+($3-'WEEKLY INPUT'!Y105)*0.10)*$R105*$S105*0.825)</f>
        <v/>
      </c>
      <c r="AC105" s="5">
        <f>SUM(U105:AB105)</f>
        <v/>
      </c>
      <c r="AD105" s="5">
        <f>SUM(U105:Z105)</f>
        <v/>
      </c>
      <c r="AE105" s="5">
        <f>IFERROR(AD105/D105,0)</f>
        <v/>
      </c>
      <c r="AF105" s="5">
        <f>MAX(0,1-R105)</f>
        <v/>
      </c>
      <c r="AG105" s="5">
        <f>IFERROR((H105+I105)*R105*(1+0.10*(3-'WEEKLY INPUT'!R105)),"")</f>
        <v/>
      </c>
      <c r="AH105" s="5">
        <f>IFERROR(AG105/SUMPRODUCT($AG$6:$AG$205),"")</f>
        <v/>
      </c>
      <c r="AI105" s="5">
        <f>IFERROR(AD105*(1-AF105*0.5)*(1+0.15*AE105),0)</f>
        <v/>
      </c>
      <c r="AJ105" s="5">
        <f>IF(A105="","",RANK(AI105,$AI$6:$AI$205,0))</f>
        <v/>
      </c>
      <c r="AK105" s="5">
        <f>IFERROR('WEEKLY INPUT'!Z105,"")</f>
        <v/>
      </c>
    </row>
    <row r="106">
      <c r="A106" s="5">
        <f>IFERROR('WEEKLY INPUT'!A106,"")</f>
        <v/>
      </c>
      <c r="B106" s="5">
        <f>IFERROR('WEEKLY INPUT'!B106,"")</f>
        <v/>
      </c>
      <c r="C106" s="5">
        <f>IFERROR('WEEKLY INPUT'!C106,"")</f>
        <v/>
      </c>
      <c r="D106" s="5">
        <f>IFERROR('WEEKLY INPUT'!D106,0)</f>
        <v/>
      </c>
      <c r="E106" s="5">
        <f>IFERROR('WEEKLY INPUT'!E106,0)</f>
        <v/>
      </c>
      <c r="F106" s="5">
        <f>IFERROR('WEEKLY INPUT'!F106,0)</f>
        <v/>
      </c>
      <c r="G106" s="5">
        <f>IFERROR('WEEKLY INPUT'!Q106,0)</f>
        <v/>
      </c>
      <c r="H106" s="5">
        <f>IFERROR('WEEKLY INPUT'!H106/'WEEKLY INPUT'!F106*90,0)</f>
        <v/>
      </c>
      <c r="I106" s="5">
        <f>IFERROR('WEEKLY INPUT'!I106/'WEEKLY INPUT'!F106*90,0)</f>
        <v/>
      </c>
      <c r="J106" s="5">
        <f>H106+I106</f>
        <v/>
      </c>
      <c r="K106" s="5">
        <f>IFERROR('WEEKLY INPUT'!J106/'WEEKLY INPUT'!F106*90,0)</f>
        <v/>
      </c>
      <c r="L106" s="5">
        <f>IFERROR('WEEKLY INPUT'!K106/'WEEKLY INPUT'!F106*90,0)</f>
        <v/>
      </c>
      <c r="M106" s="5">
        <f>IFERROR('WEEKLY INPUT'!L106/'WEEKLY INPUT'!F106*90,0)</f>
        <v/>
      </c>
      <c r="N106" s="5">
        <f>IFERROR('WEEKLY INPUT'!M106/'WEEKLY INPUT'!F106*90,0)</f>
        <v/>
      </c>
      <c r="O106" s="5">
        <f>IFERROR('WEEKLY INPUT'!N106/'WEEKLY INPUT'!F106*90,0)</f>
        <v/>
      </c>
      <c r="P106" s="5">
        <f>IFERROR('WEEKLY INPUT'!O106/'WEEKLY INPUT'!F106*90,0)</f>
        <v/>
      </c>
      <c r="Q106" s="5">
        <f>IFERROR(('WEEKLY INPUT'!J106*2+'WEEKLY INPUT'!K106*1+'WEEKLY INPUT'!O106*0.2)/'WEEKLY INPUT'!F106,0)</f>
        <v/>
      </c>
      <c r="R106" s="5">
        <f>MAX(0.25,MIN(1.15,(F106/540)*0.5+G106*0.5))</f>
        <v/>
      </c>
      <c r="S106" s="5">
        <f>MAX(0.70,MIN(1.10,0.85+0.15*G106))</f>
        <v/>
      </c>
      <c r="T106" s="5">
        <f>IF(A106="","",2*('WEEKLY INPUT'!P106/90)+(H106*5+I106*3)*('WEEKLY INPUT'!P106/90)+(P106*0.15)*('WEEKLY INPUT'!P106/90)+Q106*0.25)</f>
        <v/>
      </c>
      <c r="U106" s="5">
        <f>IF($A106="","",$T106*(1+($3-'WEEKLY INPUT'!R106)*0.10)*$R106*$S106*1.0)</f>
        <v/>
      </c>
      <c r="V106" s="5">
        <f>IF($A106="","",$T106*(1+($3-'WEEKLY INPUT'!S106)*0.10)*$R106*$S106*0.975)</f>
        <v/>
      </c>
      <c r="W106" s="5">
        <f>IF($A106="","",$T106*(1+($3-'WEEKLY INPUT'!T106)*0.10)*$R106*$S106*0.95)</f>
        <v/>
      </c>
      <c r="X106" s="5">
        <f>IF($A106="","",$T106*(1+($3-'WEEKLY INPUT'!U106)*0.10)*$R106*$S106*0.925)</f>
        <v/>
      </c>
      <c r="Y106" s="5">
        <f>IF($A106="","",$T106*(1+($3-'WEEKLY INPUT'!V106)*0.10)*$R106*$S106*0.9)</f>
        <v/>
      </c>
      <c r="Z106" s="5">
        <f>IF($A106="","",$T106*(1+($3-'WEEKLY INPUT'!W106)*0.10)*$R106*$S106*0.875)</f>
        <v/>
      </c>
      <c r="AA106" s="5">
        <f>IF($A106="","",$T106*(1+($3-'WEEKLY INPUT'!X106)*0.10)*$R106*$S106*0.85)</f>
        <v/>
      </c>
      <c r="AB106" s="5">
        <f>IF($A106="","",$T106*(1+($3-'WEEKLY INPUT'!Y106)*0.10)*$R106*$S106*0.825)</f>
        <v/>
      </c>
      <c r="AC106" s="5">
        <f>SUM(U106:AB106)</f>
        <v/>
      </c>
      <c r="AD106" s="5">
        <f>SUM(U106:Z106)</f>
        <v/>
      </c>
      <c r="AE106" s="5">
        <f>IFERROR(AD106/D106,0)</f>
        <v/>
      </c>
      <c r="AF106" s="5">
        <f>MAX(0,1-R106)</f>
        <v/>
      </c>
      <c r="AG106" s="5">
        <f>IFERROR((H106+I106)*R106*(1+0.10*(3-'WEEKLY INPUT'!R106)),"")</f>
        <v/>
      </c>
      <c r="AH106" s="5">
        <f>IFERROR(AG106/SUMPRODUCT($AG$6:$AG$205),"")</f>
        <v/>
      </c>
      <c r="AI106" s="5">
        <f>IFERROR(AD106*(1-AF106*0.5)*(1+0.15*AE106),0)</f>
        <v/>
      </c>
      <c r="AJ106" s="5">
        <f>IF(A106="","",RANK(AI106,$AI$6:$AI$205,0))</f>
        <v/>
      </c>
      <c r="AK106" s="5">
        <f>IFERROR('WEEKLY INPUT'!Z106,"")</f>
        <v/>
      </c>
    </row>
    <row r="107">
      <c r="A107" s="5">
        <f>IFERROR('WEEKLY INPUT'!A107,"")</f>
        <v/>
      </c>
      <c r="B107" s="5">
        <f>IFERROR('WEEKLY INPUT'!B107,"")</f>
        <v/>
      </c>
      <c r="C107" s="5">
        <f>IFERROR('WEEKLY INPUT'!C107,"")</f>
        <v/>
      </c>
      <c r="D107" s="5">
        <f>IFERROR('WEEKLY INPUT'!D107,0)</f>
        <v/>
      </c>
      <c r="E107" s="5">
        <f>IFERROR('WEEKLY INPUT'!E107,0)</f>
        <v/>
      </c>
      <c r="F107" s="5">
        <f>IFERROR('WEEKLY INPUT'!F107,0)</f>
        <v/>
      </c>
      <c r="G107" s="5">
        <f>IFERROR('WEEKLY INPUT'!Q107,0)</f>
        <v/>
      </c>
      <c r="H107" s="5">
        <f>IFERROR('WEEKLY INPUT'!H107/'WEEKLY INPUT'!F107*90,0)</f>
        <v/>
      </c>
      <c r="I107" s="5">
        <f>IFERROR('WEEKLY INPUT'!I107/'WEEKLY INPUT'!F107*90,0)</f>
        <v/>
      </c>
      <c r="J107" s="5">
        <f>H107+I107</f>
        <v/>
      </c>
      <c r="K107" s="5">
        <f>IFERROR('WEEKLY INPUT'!J107/'WEEKLY INPUT'!F107*90,0)</f>
        <v/>
      </c>
      <c r="L107" s="5">
        <f>IFERROR('WEEKLY INPUT'!K107/'WEEKLY INPUT'!F107*90,0)</f>
        <v/>
      </c>
      <c r="M107" s="5">
        <f>IFERROR('WEEKLY INPUT'!L107/'WEEKLY INPUT'!F107*90,0)</f>
        <v/>
      </c>
      <c r="N107" s="5">
        <f>IFERROR('WEEKLY INPUT'!M107/'WEEKLY INPUT'!F107*90,0)</f>
        <v/>
      </c>
      <c r="O107" s="5">
        <f>IFERROR('WEEKLY INPUT'!N107/'WEEKLY INPUT'!F107*90,0)</f>
        <v/>
      </c>
      <c r="P107" s="5">
        <f>IFERROR('WEEKLY INPUT'!O107/'WEEKLY INPUT'!F107*90,0)</f>
        <v/>
      </c>
      <c r="Q107" s="5">
        <f>IFERROR(('WEEKLY INPUT'!J107*2+'WEEKLY INPUT'!K107*1+'WEEKLY INPUT'!O107*0.2)/'WEEKLY INPUT'!F107,0)</f>
        <v/>
      </c>
      <c r="R107" s="5">
        <f>MAX(0.25,MIN(1.15,(F107/540)*0.5+G107*0.5))</f>
        <v/>
      </c>
      <c r="S107" s="5">
        <f>MAX(0.70,MIN(1.10,0.85+0.15*G107))</f>
        <v/>
      </c>
      <c r="T107" s="5">
        <f>IF(A107="","",2*('WEEKLY INPUT'!P107/90)+(H107*5+I107*3)*('WEEKLY INPUT'!P107/90)+(P107*0.15)*('WEEKLY INPUT'!P107/90)+Q107*0.25)</f>
        <v/>
      </c>
      <c r="U107" s="5">
        <f>IF($A107="","",$T107*(1+($3-'WEEKLY INPUT'!R107)*0.10)*$R107*$S107*1.0)</f>
        <v/>
      </c>
      <c r="V107" s="5">
        <f>IF($A107="","",$T107*(1+($3-'WEEKLY INPUT'!S107)*0.10)*$R107*$S107*0.975)</f>
        <v/>
      </c>
      <c r="W107" s="5">
        <f>IF($A107="","",$T107*(1+($3-'WEEKLY INPUT'!T107)*0.10)*$R107*$S107*0.95)</f>
        <v/>
      </c>
      <c r="X107" s="5">
        <f>IF($A107="","",$T107*(1+($3-'WEEKLY INPUT'!U107)*0.10)*$R107*$S107*0.925)</f>
        <v/>
      </c>
      <c r="Y107" s="5">
        <f>IF($A107="","",$T107*(1+($3-'WEEKLY INPUT'!V107)*0.10)*$R107*$S107*0.9)</f>
        <v/>
      </c>
      <c r="Z107" s="5">
        <f>IF($A107="","",$T107*(1+($3-'WEEKLY INPUT'!W107)*0.10)*$R107*$S107*0.875)</f>
        <v/>
      </c>
      <c r="AA107" s="5">
        <f>IF($A107="","",$T107*(1+($3-'WEEKLY INPUT'!X107)*0.10)*$R107*$S107*0.85)</f>
        <v/>
      </c>
      <c r="AB107" s="5">
        <f>IF($A107="","",$T107*(1+($3-'WEEKLY INPUT'!Y107)*0.10)*$R107*$S107*0.825)</f>
        <v/>
      </c>
      <c r="AC107" s="5">
        <f>SUM(U107:AB107)</f>
        <v/>
      </c>
      <c r="AD107" s="5">
        <f>SUM(U107:Z107)</f>
        <v/>
      </c>
      <c r="AE107" s="5">
        <f>IFERROR(AD107/D107,0)</f>
        <v/>
      </c>
      <c r="AF107" s="5">
        <f>MAX(0,1-R107)</f>
        <v/>
      </c>
      <c r="AG107" s="5">
        <f>IFERROR((H107+I107)*R107*(1+0.10*(3-'WEEKLY INPUT'!R107)),"")</f>
        <v/>
      </c>
      <c r="AH107" s="5">
        <f>IFERROR(AG107/SUMPRODUCT($AG$6:$AG$205),"")</f>
        <v/>
      </c>
      <c r="AI107" s="5">
        <f>IFERROR(AD107*(1-AF107*0.5)*(1+0.15*AE107),0)</f>
        <v/>
      </c>
      <c r="AJ107" s="5">
        <f>IF(A107="","",RANK(AI107,$AI$6:$AI$205,0))</f>
        <v/>
      </c>
      <c r="AK107" s="5">
        <f>IFERROR('WEEKLY INPUT'!Z107,"")</f>
        <v/>
      </c>
    </row>
    <row r="108">
      <c r="A108" s="5">
        <f>IFERROR('WEEKLY INPUT'!A108,"")</f>
        <v/>
      </c>
      <c r="B108" s="5">
        <f>IFERROR('WEEKLY INPUT'!B108,"")</f>
        <v/>
      </c>
      <c r="C108" s="5">
        <f>IFERROR('WEEKLY INPUT'!C108,"")</f>
        <v/>
      </c>
      <c r="D108" s="5">
        <f>IFERROR('WEEKLY INPUT'!D108,0)</f>
        <v/>
      </c>
      <c r="E108" s="5">
        <f>IFERROR('WEEKLY INPUT'!E108,0)</f>
        <v/>
      </c>
      <c r="F108" s="5">
        <f>IFERROR('WEEKLY INPUT'!F108,0)</f>
        <v/>
      </c>
      <c r="G108" s="5">
        <f>IFERROR('WEEKLY INPUT'!Q108,0)</f>
        <v/>
      </c>
      <c r="H108" s="5">
        <f>IFERROR('WEEKLY INPUT'!H108/'WEEKLY INPUT'!F108*90,0)</f>
        <v/>
      </c>
      <c r="I108" s="5">
        <f>IFERROR('WEEKLY INPUT'!I108/'WEEKLY INPUT'!F108*90,0)</f>
        <v/>
      </c>
      <c r="J108" s="5">
        <f>H108+I108</f>
        <v/>
      </c>
      <c r="K108" s="5">
        <f>IFERROR('WEEKLY INPUT'!J108/'WEEKLY INPUT'!F108*90,0)</f>
        <v/>
      </c>
      <c r="L108" s="5">
        <f>IFERROR('WEEKLY INPUT'!K108/'WEEKLY INPUT'!F108*90,0)</f>
        <v/>
      </c>
      <c r="M108" s="5">
        <f>IFERROR('WEEKLY INPUT'!L108/'WEEKLY INPUT'!F108*90,0)</f>
        <v/>
      </c>
      <c r="N108" s="5">
        <f>IFERROR('WEEKLY INPUT'!M108/'WEEKLY INPUT'!F108*90,0)</f>
        <v/>
      </c>
      <c r="O108" s="5">
        <f>IFERROR('WEEKLY INPUT'!N108/'WEEKLY INPUT'!F108*90,0)</f>
        <v/>
      </c>
      <c r="P108" s="5">
        <f>IFERROR('WEEKLY INPUT'!O108/'WEEKLY INPUT'!F108*90,0)</f>
        <v/>
      </c>
      <c r="Q108" s="5">
        <f>IFERROR(('WEEKLY INPUT'!J108*2+'WEEKLY INPUT'!K108*1+'WEEKLY INPUT'!O108*0.2)/'WEEKLY INPUT'!F108,0)</f>
        <v/>
      </c>
      <c r="R108" s="5">
        <f>MAX(0.25,MIN(1.15,(F108/540)*0.5+G108*0.5))</f>
        <v/>
      </c>
      <c r="S108" s="5">
        <f>MAX(0.70,MIN(1.10,0.85+0.15*G108))</f>
        <v/>
      </c>
      <c r="T108" s="5">
        <f>IF(A108="","",2*('WEEKLY INPUT'!P108/90)+(H108*5+I108*3)*('WEEKLY INPUT'!P108/90)+(P108*0.15)*('WEEKLY INPUT'!P108/90)+Q108*0.25)</f>
        <v/>
      </c>
      <c r="U108" s="5">
        <f>IF($A108="","",$T108*(1+($3-'WEEKLY INPUT'!R108)*0.10)*$R108*$S108*1.0)</f>
        <v/>
      </c>
      <c r="V108" s="5">
        <f>IF($A108="","",$T108*(1+($3-'WEEKLY INPUT'!S108)*0.10)*$R108*$S108*0.975)</f>
        <v/>
      </c>
      <c r="W108" s="5">
        <f>IF($A108="","",$T108*(1+($3-'WEEKLY INPUT'!T108)*0.10)*$R108*$S108*0.95)</f>
        <v/>
      </c>
      <c r="X108" s="5">
        <f>IF($A108="","",$T108*(1+($3-'WEEKLY INPUT'!U108)*0.10)*$R108*$S108*0.925)</f>
        <v/>
      </c>
      <c r="Y108" s="5">
        <f>IF($A108="","",$T108*(1+($3-'WEEKLY INPUT'!V108)*0.10)*$R108*$S108*0.9)</f>
        <v/>
      </c>
      <c r="Z108" s="5">
        <f>IF($A108="","",$T108*(1+($3-'WEEKLY INPUT'!W108)*0.10)*$R108*$S108*0.875)</f>
        <v/>
      </c>
      <c r="AA108" s="5">
        <f>IF($A108="","",$T108*(1+($3-'WEEKLY INPUT'!X108)*0.10)*$R108*$S108*0.85)</f>
        <v/>
      </c>
      <c r="AB108" s="5">
        <f>IF($A108="","",$T108*(1+($3-'WEEKLY INPUT'!Y108)*0.10)*$R108*$S108*0.825)</f>
        <v/>
      </c>
      <c r="AC108" s="5">
        <f>SUM(U108:AB108)</f>
        <v/>
      </c>
      <c r="AD108" s="5">
        <f>SUM(U108:Z108)</f>
        <v/>
      </c>
      <c r="AE108" s="5">
        <f>IFERROR(AD108/D108,0)</f>
        <v/>
      </c>
      <c r="AF108" s="5">
        <f>MAX(0,1-R108)</f>
        <v/>
      </c>
      <c r="AG108" s="5">
        <f>IFERROR((H108+I108)*R108*(1+0.10*(3-'WEEKLY INPUT'!R108)),"")</f>
        <v/>
      </c>
      <c r="AH108" s="5">
        <f>IFERROR(AG108/SUMPRODUCT($AG$6:$AG$205),"")</f>
        <v/>
      </c>
      <c r="AI108" s="5">
        <f>IFERROR(AD108*(1-AF108*0.5)*(1+0.15*AE108),0)</f>
        <v/>
      </c>
      <c r="AJ108" s="5">
        <f>IF(A108="","",RANK(AI108,$AI$6:$AI$205,0))</f>
        <v/>
      </c>
      <c r="AK108" s="5">
        <f>IFERROR('WEEKLY INPUT'!Z108,"")</f>
        <v/>
      </c>
    </row>
    <row r="109">
      <c r="A109" s="5">
        <f>IFERROR('WEEKLY INPUT'!A109,"")</f>
        <v/>
      </c>
      <c r="B109" s="5">
        <f>IFERROR('WEEKLY INPUT'!B109,"")</f>
        <v/>
      </c>
      <c r="C109" s="5">
        <f>IFERROR('WEEKLY INPUT'!C109,"")</f>
        <v/>
      </c>
      <c r="D109" s="5">
        <f>IFERROR('WEEKLY INPUT'!D109,0)</f>
        <v/>
      </c>
      <c r="E109" s="5">
        <f>IFERROR('WEEKLY INPUT'!E109,0)</f>
        <v/>
      </c>
      <c r="F109" s="5">
        <f>IFERROR('WEEKLY INPUT'!F109,0)</f>
        <v/>
      </c>
      <c r="G109" s="5">
        <f>IFERROR('WEEKLY INPUT'!Q109,0)</f>
        <v/>
      </c>
      <c r="H109" s="5">
        <f>IFERROR('WEEKLY INPUT'!H109/'WEEKLY INPUT'!F109*90,0)</f>
        <v/>
      </c>
      <c r="I109" s="5">
        <f>IFERROR('WEEKLY INPUT'!I109/'WEEKLY INPUT'!F109*90,0)</f>
        <v/>
      </c>
      <c r="J109" s="5">
        <f>H109+I109</f>
        <v/>
      </c>
      <c r="K109" s="5">
        <f>IFERROR('WEEKLY INPUT'!J109/'WEEKLY INPUT'!F109*90,0)</f>
        <v/>
      </c>
      <c r="L109" s="5">
        <f>IFERROR('WEEKLY INPUT'!K109/'WEEKLY INPUT'!F109*90,0)</f>
        <v/>
      </c>
      <c r="M109" s="5">
        <f>IFERROR('WEEKLY INPUT'!L109/'WEEKLY INPUT'!F109*90,0)</f>
        <v/>
      </c>
      <c r="N109" s="5">
        <f>IFERROR('WEEKLY INPUT'!M109/'WEEKLY INPUT'!F109*90,0)</f>
        <v/>
      </c>
      <c r="O109" s="5">
        <f>IFERROR('WEEKLY INPUT'!N109/'WEEKLY INPUT'!F109*90,0)</f>
        <v/>
      </c>
      <c r="P109" s="5">
        <f>IFERROR('WEEKLY INPUT'!O109/'WEEKLY INPUT'!F109*90,0)</f>
        <v/>
      </c>
      <c r="Q109" s="5">
        <f>IFERROR(('WEEKLY INPUT'!J109*2+'WEEKLY INPUT'!K109*1+'WEEKLY INPUT'!O109*0.2)/'WEEKLY INPUT'!F109,0)</f>
        <v/>
      </c>
      <c r="R109" s="5">
        <f>MAX(0.25,MIN(1.15,(F109/540)*0.5+G109*0.5))</f>
        <v/>
      </c>
      <c r="S109" s="5">
        <f>MAX(0.70,MIN(1.10,0.85+0.15*G109))</f>
        <v/>
      </c>
      <c r="T109" s="5">
        <f>IF(A109="","",2*('WEEKLY INPUT'!P109/90)+(H109*5+I109*3)*('WEEKLY INPUT'!P109/90)+(P109*0.15)*('WEEKLY INPUT'!P109/90)+Q109*0.25)</f>
        <v/>
      </c>
      <c r="U109" s="5">
        <f>IF($A109="","",$T109*(1+($3-'WEEKLY INPUT'!R109)*0.10)*$R109*$S109*1.0)</f>
        <v/>
      </c>
      <c r="V109" s="5">
        <f>IF($A109="","",$T109*(1+($3-'WEEKLY INPUT'!S109)*0.10)*$R109*$S109*0.975)</f>
        <v/>
      </c>
      <c r="W109" s="5">
        <f>IF($A109="","",$T109*(1+($3-'WEEKLY INPUT'!T109)*0.10)*$R109*$S109*0.95)</f>
        <v/>
      </c>
      <c r="X109" s="5">
        <f>IF($A109="","",$T109*(1+($3-'WEEKLY INPUT'!U109)*0.10)*$R109*$S109*0.925)</f>
        <v/>
      </c>
      <c r="Y109" s="5">
        <f>IF($A109="","",$T109*(1+($3-'WEEKLY INPUT'!V109)*0.10)*$R109*$S109*0.9)</f>
        <v/>
      </c>
      <c r="Z109" s="5">
        <f>IF($A109="","",$T109*(1+($3-'WEEKLY INPUT'!W109)*0.10)*$R109*$S109*0.875)</f>
        <v/>
      </c>
      <c r="AA109" s="5">
        <f>IF($A109="","",$T109*(1+($3-'WEEKLY INPUT'!X109)*0.10)*$R109*$S109*0.85)</f>
        <v/>
      </c>
      <c r="AB109" s="5">
        <f>IF($A109="","",$T109*(1+($3-'WEEKLY INPUT'!Y109)*0.10)*$R109*$S109*0.825)</f>
        <v/>
      </c>
      <c r="AC109" s="5">
        <f>SUM(U109:AB109)</f>
        <v/>
      </c>
      <c r="AD109" s="5">
        <f>SUM(U109:Z109)</f>
        <v/>
      </c>
      <c r="AE109" s="5">
        <f>IFERROR(AD109/D109,0)</f>
        <v/>
      </c>
      <c r="AF109" s="5">
        <f>MAX(0,1-R109)</f>
        <v/>
      </c>
      <c r="AG109" s="5">
        <f>IFERROR((H109+I109)*R109*(1+0.10*(3-'WEEKLY INPUT'!R109)),"")</f>
        <v/>
      </c>
      <c r="AH109" s="5">
        <f>IFERROR(AG109/SUMPRODUCT($AG$6:$AG$205),"")</f>
        <v/>
      </c>
      <c r="AI109" s="5">
        <f>IFERROR(AD109*(1-AF109*0.5)*(1+0.15*AE109),0)</f>
        <v/>
      </c>
      <c r="AJ109" s="5">
        <f>IF(A109="","",RANK(AI109,$AI$6:$AI$205,0))</f>
        <v/>
      </c>
      <c r="AK109" s="5">
        <f>IFERROR('WEEKLY INPUT'!Z109,"")</f>
        <v/>
      </c>
    </row>
    <row r="110">
      <c r="A110" s="5">
        <f>IFERROR('WEEKLY INPUT'!A110,"")</f>
        <v/>
      </c>
      <c r="B110" s="5">
        <f>IFERROR('WEEKLY INPUT'!B110,"")</f>
        <v/>
      </c>
      <c r="C110" s="5">
        <f>IFERROR('WEEKLY INPUT'!C110,"")</f>
        <v/>
      </c>
      <c r="D110" s="5">
        <f>IFERROR('WEEKLY INPUT'!D110,0)</f>
        <v/>
      </c>
      <c r="E110" s="5">
        <f>IFERROR('WEEKLY INPUT'!E110,0)</f>
        <v/>
      </c>
      <c r="F110" s="5">
        <f>IFERROR('WEEKLY INPUT'!F110,0)</f>
        <v/>
      </c>
      <c r="G110" s="5">
        <f>IFERROR('WEEKLY INPUT'!Q110,0)</f>
        <v/>
      </c>
      <c r="H110" s="5">
        <f>IFERROR('WEEKLY INPUT'!H110/'WEEKLY INPUT'!F110*90,0)</f>
        <v/>
      </c>
      <c r="I110" s="5">
        <f>IFERROR('WEEKLY INPUT'!I110/'WEEKLY INPUT'!F110*90,0)</f>
        <v/>
      </c>
      <c r="J110" s="5">
        <f>H110+I110</f>
        <v/>
      </c>
      <c r="K110" s="5">
        <f>IFERROR('WEEKLY INPUT'!J110/'WEEKLY INPUT'!F110*90,0)</f>
        <v/>
      </c>
      <c r="L110" s="5">
        <f>IFERROR('WEEKLY INPUT'!K110/'WEEKLY INPUT'!F110*90,0)</f>
        <v/>
      </c>
      <c r="M110" s="5">
        <f>IFERROR('WEEKLY INPUT'!L110/'WEEKLY INPUT'!F110*90,0)</f>
        <v/>
      </c>
      <c r="N110" s="5">
        <f>IFERROR('WEEKLY INPUT'!M110/'WEEKLY INPUT'!F110*90,0)</f>
        <v/>
      </c>
      <c r="O110" s="5">
        <f>IFERROR('WEEKLY INPUT'!N110/'WEEKLY INPUT'!F110*90,0)</f>
        <v/>
      </c>
      <c r="P110" s="5">
        <f>IFERROR('WEEKLY INPUT'!O110/'WEEKLY INPUT'!F110*90,0)</f>
        <v/>
      </c>
      <c r="Q110" s="5">
        <f>IFERROR(('WEEKLY INPUT'!J110*2+'WEEKLY INPUT'!K110*1+'WEEKLY INPUT'!O110*0.2)/'WEEKLY INPUT'!F110,0)</f>
        <v/>
      </c>
      <c r="R110" s="5">
        <f>MAX(0.25,MIN(1.15,(F110/540)*0.5+G110*0.5))</f>
        <v/>
      </c>
      <c r="S110" s="5">
        <f>MAX(0.70,MIN(1.10,0.85+0.15*G110))</f>
        <v/>
      </c>
      <c r="T110" s="5">
        <f>IF(A110="","",2*('WEEKLY INPUT'!P110/90)+(H110*5+I110*3)*('WEEKLY INPUT'!P110/90)+(P110*0.15)*('WEEKLY INPUT'!P110/90)+Q110*0.25)</f>
        <v/>
      </c>
      <c r="U110" s="5">
        <f>IF($A110="","",$T110*(1+($3-'WEEKLY INPUT'!R110)*0.10)*$R110*$S110*1.0)</f>
        <v/>
      </c>
      <c r="V110" s="5">
        <f>IF($A110="","",$T110*(1+($3-'WEEKLY INPUT'!S110)*0.10)*$R110*$S110*0.975)</f>
        <v/>
      </c>
      <c r="W110" s="5">
        <f>IF($A110="","",$T110*(1+($3-'WEEKLY INPUT'!T110)*0.10)*$R110*$S110*0.95)</f>
        <v/>
      </c>
      <c r="X110" s="5">
        <f>IF($A110="","",$T110*(1+($3-'WEEKLY INPUT'!U110)*0.10)*$R110*$S110*0.925)</f>
        <v/>
      </c>
      <c r="Y110" s="5">
        <f>IF($A110="","",$T110*(1+($3-'WEEKLY INPUT'!V110)*0.10)*$R110*$S110*0.9)</f>
        <v/>
      </c>
      <c r="Z110" s="5">
        <f>IF($A110="","",$T110*(1+($3-'WEEKLY INPUT'!W110)*0.10)*$R110*$S110*0.875)</f>
        <v/>
      </c>
      <c r="AA110" s="5">
        <f>IF($A110="","",$T110*(1+($3-'WEEKLY INPUT'!X110)*0.10)*$R110*$S110*0.85)</f>
        <v/>
      </c>
      <c r="AB110" s="5">
        <f>IF($A110="","",$T110*(1+($3-'WEEKLY INPUT'!Y110)*0.10)*$R110*$S110*0.825)</f>
        <v/>
      </c>
      <c r="AC110" s="5">
        <f>SUM(U110:AB110)</f>
        <v/>
      </c>
      <c r="AD110" s="5">
        <f>SUM(U110:Z110)</f>
        <v/>
      </c>
      <c r="AE110" s="5">
        <f>IFERROR(AD110/D110,0)</f>
        <v/>
      </c>
      <c r="AF110" s="5">
        <f>MAX(0,1-R110)</f>
        <v/>
      </c>
      <c r="AG110" s="5">
        <f>IFERROR((H110+I110)*R110*(1+0.10*(3-'WEEKLY INPUT'!R110)),"")</f>
        <v/>
      </c>
      <c r="AH110" s="5">
        <f>IFERROR(AG110/SUMPRODUCT($AG$6:$AG$205),"")</f>
        <v/>
      </c>
      <c r="AI110" s="5">
        <f>IFERROR(AD110*(1-AF110*0.5)*(1+0.15*AE110),0)</f>
        <v/>
      </c>
      <c r="AJ110" s="5">
        <f>IF(A110="","",RANK(AI110,$AI$6:$AI$205,0))</f>
        <v/>
      </c>
      <c r="AK110" s="5">
        <f>IFERROR('WEEKLY INPUT'!Z110,"")</f>
        <v/>
      </c>
    </row>
    <row r="111">
      <c r="A111" s="5">
        <f>IFERROR('WEEKLY INPUT'!A111,"")</f>
        <v/>
      </c>
      <c r="B111" s="5">
        <f>IFERROR('WEEKLY INPUT'!B111,"")</f>
        <v/>
      </c>
      <c r="C111" s="5">
        <f>IFERROR('WEEKLY INPUT'!C111,"")</f>
        <v/>
      </c>
      <c r="D111" s="5">
        <f>IFERROR('WEEKLY INPUT'!D111,0)</f>
        <v/>
      </c>
      <c r="E111" s="5">
        <f>IFERROR('WEEKLY INPUT'!E111,0)</f>
        <v/>
      </c>
      <c r="F111" s="5">
        <f>IFERROR('WEEKLY INPUT'!F111,0)</f>
        <v/>
      </c>
      <c r="G111" s="5">
        <f>IFERROR('WEEKLY INPUT'!Q111,0)</f>
        <v/>
      </c>
      <c r="H111" s="5">
        <f>IFERROR('WEEKLY INPUT'!H111/'WEEKLY INPUT'!F111*90,0)</f>
        <v/>
      </c>
      <c r="I111" s="5">
        <f>IFERROR('WEEKLY INPUT'!I111/'WEEKLY INPUT'!F111*90,0)</f>
        <v/>
      </c>
      <c r="J111" s="5">
        <f>H111+I111</f>
        <v/>
      </c>
      <c r="K111" s="5">
        <f>IFERROR('WEEKLY INPUT'!J111/'WEEKLY INPUT'!F111*90,0)</f>
        <v/>
      </c>
      <c r="L111" s="5">
        <f>IFERROR('WEEKLY INPUT'!K111/'WEEKLY INPUT'!F111*90,0)</f>
        <v/>
      </c>
      <c r="M111" s="5">
        <f>IFERROR('WEEKLY INPUT'!L111/'WEEKLY INPUT'!F111*90,0)</f>
        <v/>
      </c>
      <c r="N111" s="5">
        <f>IFERROR('WEEKLY INPUT'!M111/'WEEKLY INPUT'!F111*90,0)</f>
        <v/>
      </c>
      <c r="O111" s="5">
        <f>IFERROR('WEEKLY INPUT'!N111/'WEEKLY INPUT'!F111*90,0)</f>
        <v/>
      </c>
      <c r="P111" s="5">
        <f>IFERROR('WEEKLY INPUT'!O111/'WEEKLY INPUT'!F111*90,0)</f>
        <v/>
      </c>
      <c r="Q111" s="5">
        <f>IFERROR(('WEEKLY INPUT'!J111*2+'WEEKLY INPUT'!K111*1+'WEEKLY INPUT'!O111*0.2)/'WEEKLY INPUT'!F111,0)</f>
        <v/>
      </c>
      <c r="R111" s="5">
        <f>MAX(0.25,MIN(1.15,(F111/540)*0.5+G111*0.5))</f>
        <v/>
      </c>
      <c r="S111" s="5">
        <f>MAX(0.70,MIN(1.10,0.85+0.15*G111))</f>
        <v/>
      </c>
      <c r="T111" s="5">
        <f>IF(A111="","",2*('WEEKLY INPUT'!P111/90)+(H111*5+I111*3)*('WEEKLY INPUT'!P111/90)+(P111*0.15)*('WEEKLY INPUT'!P111/90)+Q111*0.25)</f>
        <v/>
      </c>
      <c r="U111" s="5">
        <f>IF($A111="","",$T111*(1+($3-'WEEKLY INPUT'!R111)*0.10)*$R111*$S111*1.0)</f>
        <v/>
      </c>
      <c r="V111" s="5">
        <f>IF($A111="","",$T111*(1+($3-'WEEKLY INPUT'!S111)*0.10)*$R111*$S111*0.975)</f>
        <v/>
      </c>
      <c r="W111" s="5">
        <f>IF($A111="","",$T111*(1+($3-'WEEKLY INPUT'!T111)*0.10)*$R111*$S111*0.95)</f>
        <v/>
      </c>
      <c r="X111" s="5">
        <f>IF($A111="","",$T111*(1+($3-'WEEKLY INPUT'!U111)*0.10)*$R111*$S111*0.925)</f>
        <v/>
      </c>
      <c r="Y111" s="5">
        <f>IF($A111="","",$T111*(1+($3-'WEEKLY INPUT'!V111)*0.10)*$R111*$S111*0.9)</f>
        <v/>
      </c>
      <c r="Z111" s="5">
        <f>IF($A111="","",$T111*(1+($3-'WEEKLY INPUT'!W111)*0.10)*$R111*$S111*0.875)</f>
        <v/>
      </c>
      <c r="AA111" s="5">
        <f>IF($A111="","",$T111*(1+($3-'WEEKLY INPUT'!X111)*0.10)*$R111*$S111*0.85)</f>
        <v/>
      </c>
      <c r="AB111" s="5">
        <f>IF($A111="","",$T111*(1+($3-'WEEKLY INPUT'!Y111)*0.10)*$R111*$S111*0.825)</f>
        <v/>
      </c>
      <c r="AC111" s="5">
        <f>SUM(U111:AB111)</f>
        <v/>
      </c>
      <c r="AD111" s="5">
        <f>SUM(U111:Z111)</f>
        <v/>
      </c>
      <c r="AE111" s="5">
        <f>IFERROR(AD111/D111,0)</f>
        <v/>
      </c>
      <c r="AF111" s="5">
        <f>MAX(0,1-R111)</f>
        <v/>
      </c>
      <c r="AG111" s="5">
        <f>IFERROR((H111+I111)*R111*(1+0.10*(3-'WEEKLY INPUT'!R111)),"")</f>
        <v/>
      </c>
      <c r="AH111" s="5">
        <f>IFERROR(AG111/SUMPRODUCT($AG$6:$AG$205),"")</f>
        <v/>
      </c>
      <c r="AI111" s="5">
        <f>IFERROR(AD111*(1-AF111*0.5)*(1+0.15*AE111),0)</f>
        <v/>
      </c>
      <c r="AJ111" s="5">
        <f>IF(A111="","",RANK(AI111,$AI$6:$AI$205,0))</f>
        <v/>
      </c>
      <c r="AK111" s="5">
        <f>IFERROR('WEEKLY INPUT'!Z111,"")</f>
        <v/>
      </c>
    </row>
    <row r="112">
      <c r="A112" s="5">
        <f>IFERROR('WEEKLY INPUT'!A112,"")</f>
        <v/>
      </c>
      <c r="B112" s="5">
        <f>IFERROR('WEEKLY INPUT'!B112,"")</f>
        <v/>
      </c>
      <c r="C112" s="5">
        <f>IFERROR('WEEKLY INPUT'!C112,"")</f>
        <v/>
      </c>
      <c r="D112" s="5">
        <f>IFERROR('WEEKLY INPUT'!D112,0)</f>
        <v/>
      </c>
      <c r="E112" s="5">
        <f>IFERROR('WEEKLY INPUT'!E112,0)</f>
        <v/>
      </c>
      <c r="F112" s="5">
        <f>IFERROR('WEEKLY INPUT'!F112,0)</f>
        <v/>
      </c>
      <c r="G112" s="5">
        <f>IFERROR('WEEKLY INPUT'!Q112,0)</f>
        <v/>
      </c>
      <c r="H112" s="5">
        <f>IFERROR('WEEKLY INPUT'!H112/'WEEKLY INPUT'!F112*90,0)</f>
        <v/>
      </c>
      <c r="I112" s="5">
        <f>IFERROR('WEEKLY INPUT'!I112/'WEEKLY INPUT'!F112*90,0)</f>
        <v/>
      </c>
      <c r="J112" s="5">
        <f>H112+I112</f>
        <v/>
      </c>
      <c r="K112" s="5">
        <f>IFERROR('WEEKLY INPUT'!J112/'WEEKLY INPUT'!F112*90,0)</f>
        <v/>
      </c>
      <c r="L112" s="5">
        <f>IFERROR('WEEKLY INPUT'!K112/'WEEKLY INPUT'!F112*90,0)</f>
        <v/>
      </c>
      <c r="M112" s="5">
        <f>IFERROR('WEEKLY INPUT'!L112/'WEEKLY INPUT'!F112*90,0)</f>
        <v/>
      </c>
      <c r="N112" s="5">
        <f>IFERROR('WEEKLY INPUT'!M112/'WEEKLY INPUT'!F112*90,0)</f>
        <v/>
      </c>
      <c r="O112" s="5">
        <f>IFERROR('WEEKLY INPUT'!N112/'WEEKLY INPUT'!F112*90,0)</f>
        <v/>
      </c>
      <c r="P112" s="5">
        <f>IFERROR('WEEKLY INPUT'!O112/'WEEKLY INPUT'!F112*90,0)</f>
        <v/>
      </c>
      <c r="Q112" s="5">
        <f>IFERROR(('WEEKLY INPUT'!J112*2+'WEEKLY INPUT'!K112*1+'WEEKLY INPUT'!O112*0.2)/'WEEKLY INPUT'!F112,0)</f>
        <v/>
      </c>
      <c r="R112" s="5">
        <f>MAX(0.25,MIN(1.15,(F112/540)*0.5+G112*0.5))</f>
        <v/>
      </c>
      <c r="S112" s="5">
        <f>MAX(0.70,MIN(1.10,0.85+0.15*G112))</f>
        <v/>
      </c>
      <c r="T112" s="5">
        <f>IF(A112="","",2*('WEEKLY INPUT'!P112/90)+(H112*5+I112*3)*('WEEKLY INPUT'!P112/90)+(P112*0.15)*('WEEKLY INPUT'!P112/90)+Q112*0.25)</f>
        <v/>
      </c>
      <c r="U112" s="5">
        <f>IF($A112="","",$T112*(1+($3-'WEEKLY INPUT'!R112)*0.10)*$R112*$S112*1.0)</f>
        <v/>
      </c>
      <c r="V112" s="5">
        <f>IF($A112="","",$T112*(1+($3-'WEEKLY INPUT'!S112)*0.10)*$R112*$S112*0.975)</f>
        <v/>
      </c>
      <c r="W112" s="5">
        <f>IF($A112="","",$T112*(1+($3-'WEEKLY INPUT'!T112)*0.10)*$R112*$S112*0.95)</f>
        <v/>
      </c>
      <c r="X112" s="5">
        <f>IF($A112="","",$T112*(1+($3-'WEEKLY INPUT'!U112)*0.10)*$R112*$S112*0.925)</f>
        <v/>
      </c>
      <c r="Y112" s="5">
        <f>IF($A112="","",$T112*(1+($3-'WEEKLY INPUT'!V112)*0.10)*$R112*$S112*0.9)</f>
        <v/>
      </c>
      <c r="Z112" s="5">
        <f>IF($A112="","",$T112*(1+($3-'WEEKLY INPUT'!W112)*0.10)*$R112*$S112*0.875)</f>
        <v/>
      </c>
      <c r="AA112" s="5">
        <f>IF($A112="","",$T112*(1+($3-'WEEKLY INPUT'!X112)*0.10)*$R112*$S112*0.85)</f>
        <v/>
      </c>
      <c r="AB112" s="5">
        <f>IF($A112="","",$T112*(1+($3-'WEEKLY INPUT'!Y112)*0.10)*$R112*$S112*0.825)</f>
        <v/>
      </c>
      <c r="AC112" s="5">
        <f>SUM(U112:AB112)</f>
        <v/>
      </c>
      <c r="AD112" s="5">
        <f>SUM(U112:Z112)</f>
        <v/>
      </c>
      <c r="AE112" s="5">
        <f>IFERROR(AD112/D112,0)</f>
        <v/>
      </c>
      <c r="AF112" s="5">
        <f>MAX(0,1-R112)</f>
        <v/>
      </c>
      <c r="AG112" s="5">
        <f>IFERROR((H112+I112)*R112*(1+0.10*(3-'WEEKLY INPUT'!R112)),"")</f>
        <v/>
      </c>
      <c r="AH112" s="5">
        <f>IFERROR(AG112/SUMPRODUCT($AG$6:$AG$205),"")</f>
        <v/>
      </c>
      <c r="AI112" s="5">
        <f>IFERROR(AD112*(1-AF112*0.5)*(1+0.15*AE112),0)</f>
        <v/>
      </c>
      <c r="AJ112" s="5">
        <f>IF(A112="","",RANK(AI112,$AI$6:$AI$205,0))</f>
        <v/>
      </c>
      <c r="AK112" s="5">
        <f>IFERROR('WEEKLY INPUT'!Z112,"")</f>
        <v/>
      </c>
    </row>
    <row r="113">
      <c r="A113" s="5">
        <f>IFERROR('WEEKLY INPUT'!A113,"")</f>
        <v/>
      </c>
      <c r="B113" s="5">
        <f>IFERROR('WEEKLY INPUT'!B113,"")</f>
        <v/>
      </c>
      <c r="C113" s="5">
        <f>IFERROR('WEEKLY INPUT'!C113,"")</f>
        <v/>
      </c>
      <c r="D113" s="5">
        <f>IFERROR('WEEKLY INPUT'!D113,0)</f>
        <v/>
      </c>
      <c r="E113" s="5">
        <f>IFERROR('WEEKLY INPUT'!E113,0)</f>
        <v/>
      </c>
      <c r="F113" s="5">
        <f>IFERROR('WEEKLY INPUT'!F113,0)</f>
        <v/>
      </c>
      <c r="G113" s="5">
        <f>IFERROR('WEEKLY INPUT'!Q113,0)</f>
        <v/>
      </c>
      <c r="H113" s="5">
        <f>IFERROR('WEEKLY INPUT'!H113/'WEEKLY INPUT'!F113*90,0)</f>
        <v/>
      </c>
      <c r="I113" s="5">
        <f>IFERROR('WEEKLY INPUT'!I113/'WEEKLY INPUT'!F113*90,0)</f>
        <v/>
      </c>
      <c r="J113" s="5">
        <f>H113+I113</f>
        <v/>
      </c>
      <c r="K113" s="5">
        <f>IFERROR('WEEKLY INPUT'!J113/'WEEKLY INPUT'!F113*90,0)</f>
        <v/>
      </c>
      <c r="L113" s="5">
        <f>IFERROR('WEEKLY INPUT'!K113/'WEEKLY INPUT'!F113*90,0)</f>
        <v/>
      </c>
      <c r="M113" s="5">
        <f>IFERROR('WEEKLY INPUT'!L113/'WEEKLY INPUT'!F113*90,0)</f>
        <v/>
      </c>
      <c r="N113" s="5">
        <f>IFERROR('WEEKLY INPUT'!M113/'WEEKLY INPUT'!F113*90,0)</f>
        <v/>
      </c>
      <c r="O113" s="5">
        <f>IFERROR('WEEKLY INPUT'!N113/'WEEKLY INPUT'!F113*90,0)</f>
        <v/>
      </c>
      <c r="P113" s="5">
        <f>IFERROR('WEEKLY INPUT'!O113/'WEEKLY INPUT'!F113*90,0)</f>
        <v/>
      </c>
      <c r="Q113" s="5">
        <f>IFERROR(('WEEKLY INPUT'!J113*2+'WEEKLY INPUT'!K113*1+'WEEKLY INPUT'!O113*0.2)/'WEEKLY INPUT'!F113,0)</f>
        <v/>
      </c>
      <c r="R113" s="5">
        <f>MAX(0.25,MIN(1.15,(F113/540)*0.5+G113*0.5))</f>
        <v/>
      </c>
      <c r="S113" s="5">
        <f>MAX(0.70,MIN(1.10,0.85+0.15*G113))</f>
        <v/>
      </c>
      <c r="T113" s="5">
        <f>IF(A113="","",2*('WEEKLY INPUT'!P113/90)+(H113*5+I113*3)*('WEEKLY INPUT'!P113/90)+(P113*0.15)*('WEEKLY INPUT'!P113/90)+Q113*0.25)</f>
        <v/>
      </c>
      <c r="U113" s="5">
        <f>IF($A113="","",$T113*(1+($3-'WEEKLY INPUT'!R113)*0.10)*$R113*$S113*1.0)</f>
        <v/>
      </c>
      <c r="V113" s="5">
        <f>IF($A113="","",$T113*(1+($3-'WEEKLY INPUT'!S113)*0.10)*$R113*$S113*0.975)</f>
        <v/>
      </c>
      <c r="W113" s="5">
        <f>IF($A113="","",$T113*(1+($3-'WEEKLY INPUT'!T113)*0.10)*$R113*$S113*0.95)</f>
        <v/>
      </c>
      <c r="X113" s="5">
        <f>IF($A113="","",$T113*(1+($3-'WEEKLY INPUT'!U113)*0.10)*$R113*$S113*0.925)</f>
        <v/>
      </c>
      <c r="Y113" s="5">
        <f>IF($A113="","",$T113*(1+($3-'WEEKLY INPUT'!V113)*0.10)*$R113*$S113*0.9)</f>
        <v/>
      </c>
      <c r="Z113" s="5">
        <f>IF($A113="","",$T113*(1+($3-'WEEKLY INPUT'!W113)*0.10)*$R113*$S113*0.875)</f>
        <v/>
      </c>
      <c r="AA113" s="5">
        <f>IF($A113="","",$T113*(1+($3-'WEEKLY INPUT'!X113)*0.10)*$R113*$S113*0.85)</f>
        <v/>
      </c>
      <c r="AB113" s="5">
        <f>IF($A113="","",$T113*(1+($3-'WEEKLY INPUT'!Y113)*0.10)*$R113*$S113*0.825)</f>
        <v/>
      </c>
      <c r="AC113" s="5">
        <f>SUM(U113:AB113)</f>
        <v/>
      </c>
      <c r="AD113" s="5">
        <f>SUM(U113:Z113)</f>
        <v/>
      </c>
      <c r="AE113" s="5">
        <f>IFERROR(AD113/D113,0)</f>
        <v/>
      </c>
      <c r="AF113" s="5">
        <f>MAX(0,1-R113)</f>
        <v/>
      </c>
      <c r="AG113" s="5">
        <f>IFERROR((H113+I113)*R113*(1+0.10*(3-'WEEKLY INPUT'!R113)),"")</f>
        <v/>
      </c>
      <c r="AH113" s="5">
        <f>IFERROR(AG113/SUMPRODUCT($AG$6:$AG$205),"")</f>
        <v/>
      </c>
      <c r="AI113" s="5">
        <f>IFERROR(AD113*(1-AF113*0.5)*(1+0.15*AE113),0)</f>
        <v/>
      </c>
      <c r="AJ113" s="5">
        <f>IF(A113="","",RANK(AI113,$AI$6:$AI$205,0))</f>
        <v/>
      </c>
      <c r="AK113" s="5">
        <f>IFERROR('WEEKLY INPUT'!Z113,"")</f>
        <v/>
      </c>
    </row>
    <row r="114">
      <c r="A114" s="5">
        <f>IFERROR('WEEKLY INPUT'!A114,"")</f>
        <v/>
      </c>
      <c r="B114" s="5">
        <f>IFERROR('WEEKLY INPUT'!B114,"")</f>
        <v/>
      </c>
      <c r="C114" s="5">
        <f>IFERROR('WEEKLY INPUT'!C114,"")</f>
        <v/>
      </c>
      <c r="D114" s="5">
        <f>IFERROR('WEEKLY INPUT'!D114,0)</f>
        <v/>
      </c>
      <c r="E114" s="5">
        <f>IFERROR('WEEKLY INPUT'!E114,0)</f>
        <v/>
      </c>
      <c r="F114" s="5">
        <f>IFERROR('WEEKLY INPUT'!F114,0)</f>
        <v/>
      </c>
      <c r="G114" s="5">
        <f>IFERROR('WEEKLY INPUT'!Q114,0)</f>
        <v/>
      </c>
      <c r="H114" s="5">
        <f>IFERROR('WEEKLY INPUT'!H114/'WEEKLY INPUT'!F114*90,0)</f>
        <v/>
      </c>
      <c r="I114" s="5">
        <f>IFERROR('WEEKLY INPUT'!I114/'WEEKLY INPUT'!F114*90,0)</f>
        <v/>
      </c>
      <c r="J114" s="5">
        <f>H114+I114</f>
        <v/>
      </c>
      <c r="K114" s="5">
        <f>IFERROR('WEEKLY INPUT'!J114/'WEEKLY INPUT'!F114*90,0)</f>
        <v/>
      </c>
      <c r="L114" s="5">
        <f>IFERROR('WEEKLY INPUT'!K114/'WEEKLY INPUT'!F114*90,0)</f>
        <v/>
      </c>
      <c r="M114" s="5">
        <f>IFERROR('WEEKLY INPUT'!L114/'WEEKLY INPUT'!F114*90,0)</f>
        <v/>
      </c>
      <c r="N114" s="5">
        <f>IFERROR('WEEKLY INPUT'!M114/'WEEKLY INPUT'!F114*90,0)</f>
        <v/>
      </c>
      <c r="O114" s="5">
        <f>IFERROR('WEEKLY INPUT'!N114/'WEEKLY INPUT'!F114*90,0)</f>
        <v/>
      </c>
      <c r="P114" s="5">
        <f>IFERROR('WEEKLY INPUT'!O114/'WEEKLY INPUT'!F114*90,0)</f>
        <v/>
      </c>
      <c r="Q114" s="5">
        <f>IFERROR(('WEEKLY INPUT'!J114*2+'WEEKLY INPUT'!K114*1+'WEEKLY INPUT'!O114*0.2)/'WEEKLY INPUT'!F114,0)</f>
        <v/>
      </c>
      <c r="R114" s="5">
        <f>MAX(0.25,MIN(1.15,(F114/540)*0.5+G114*0.5))</f>
        <v/>
      </c>
      <c r="S114" s="5">
        <f>MAX(0.70,MIN(1.10,0.85+0.15*G114))</f>
        <v/>
      </c>
      <c r="T114" s="5">
        <f>IF(A114="","",2*('WEEKLY INPUT'!P114/90)+(H114*5+I114*3)*('WEEKLY INPUT'!P114/90)+(P114*0.15)*('WEEKLY INPUT'!P114/90)+Q114*0.25)</f>
        <v/>
      </c>
      <c r="U114" s="5">
        <f>IF($A114="","",$T114*(1+($3-'WEEKLY INPUT'!R114)*0.10)*$R114*$S114*1.0)</f>
        <v/>
      </c>
      <c r="V114" s="5">
        <f>IF($A114="","",$T114*(1+($3-'WEEKLY INPUT'!S114)*0.10)*$R114*$S114*0.975)</f>
        <v/>
      </c>
      <c r="W114" s="5">
        <f>IF($A114="","",$T114*(1+($3-'WEEKLY INPUT'!T114)*0.10)*$R114*$S114*0.95)</f>
        <v/>
      </c>
      <c r="X114" s="5">
        <f>IF($A114="","",$T114*(1+($3-'WEEKLY INPUT'!U114)*0.10)*$R114*$S114*0.925)</f>
        <v/>
      </c>
      <c r="Y114" s="5">
        <f>IF($A114="","",$T114*(1+($3-'WEEKLY INPUT'!V114)*0.10)*$R114*$S114*0.9)</f>
        <v/>
      </c>
      <c r="Z114" s="5">
        <f>IF($A114="","",$T114*(1+($3-'WEEKLY INPUT'!W114)*0.10)*$R114*$S114*0.875)</f>
        <v/>
      </c>
      <c r="AA114" s="5">
        <f>IF($A114="","",$T114*(1+($3-'WEEKLY INPUT'!X114)*0.10)*$R114*$S114*0.85)</f>
        <v/>
      </c>
      <c r="AB114" s="5">
        <f>IF($A114="","",$T114*(1+($3-'WEEKLY INPUT'!Y114)*0.10)*$R114*$S114*0.825)</f>
        <v/>
      </c>
      <c r="AC114" s="5">
        <f>SUM(U114:AB114)</f>
        <v/>
      </c>
      <c r="AD114" s="5">
        <f>SUM(U114:Z114)</f>
        <v/>
      </c>
      <c r="AE114" s="5">
        <f>IFERROR(AD114/D114,0)</f>
        <v/>
      </c>
      <c r="AF114" s="5">
        <f>MAX(0,1-R114)</f>
        <v/>
      </c>
      <c r="AG114" s="5">
        <f>IFERROR((H114+I114)*R114*(1+0.10*(3-'WEEKLY INPUT'!R114)),"")</f>
        <v/>
      </c>
      <c r="AH114" s="5">
        <f>IFERROR(AG114/SUMPRODUCT($AG$6:$AG$205),"")</f>
        <v/>
      </c>
      <c r="AI114" s="5">
        <f>IFERROR(AD114*(1-AF114*0.5)*(1+0.15*AE114),0)</f>
        <v/>
      </c>
      <c r="AJ114" s="5">
        <f>IF(A114="","",RANK(AI114,$AI$6:$AI$205,0))</f>
        <v/>
      </c>
      <c r="AK114" s="5">
        <f>IFERROR('WEEKLY INPUT'!Z114,"")</f>
        <v/>
      </c>
    </row>
    <row r="115">
      <c r="A115" s="5">
        <f>IFERROR('WEEKLY INPUT'!A115,"")</f>
        <v/>
      </c>
      <c r="B115" s="5">
        <f>IFERROR('WEEKLY INPUT'!B115,"")</f>
        <v/>
      </c>
      <c r="C115" s="5">
        <f>IFERROR('WEEKLY INPUT'!C115,"")</f>
        <v/>
      </c>
      <c r="D115" s="5">
        <f>IFERROR('WEEKLY INPUT'!D115,0)</f>
        <v/>
      </c>
      <c r="E115" s="5">
        <f>IFERROR('WEEKLY INPUT'!E115,0)</f>
        <v/>
      </c>
      <c r="F115" s="5">
        <f>IFERROR('WEEKLY INPUT'!F115,0)</f>
        <v/>
      </c>
      <c r="G115" s="5">
        <f>IFERROR('WEEKLY INPUT'!Q115,0)</f>
        <v/>
      </c>
      <c r="H115" s="5">
        <f>IFERROR('WEEKLY INPUT'!H115/'WEEKLY INPUT'!F115*90,0)</f>
        <v/>
      </c>
      <c r="I115" s="5">
        <f>IFERROR('WEEKLY INPUT'!I115/'WEEKLY INPUT'!F115*90,0)</f>
        <v/>
      </c>
      <c r="J115" s="5">
        <f>H115+I115</f>
        <v/>
      </c>
      <c r="K115" s="5">
        <f>IFERROR('WEEKLY INPUT'!J115/'WEEKLY INPUT'!F115*90,0)</f>
        <v/>
      </c>
      <c r="L115" s="5">
        <f>IFERROR('WEEKLY INPUT'!K115/'WEEKLY INPUT'!F115*90,0)</f>
        <v/>
      </c>
      <c r="M115" s="5">
        <f>IFERROR('WEEKLY INPUT'!L115/'WEEKLY INPUT'!F115*90,0)</f>
        <v/>
      </c>
      <c r="N115" s="5">
        <f>IFERROR('WEEKLY INPUT'!M115/'WEEKLY INPUT'!F115*90,0)</f>
        <v/>
      </c>
      <c r="O115" s="5">
        <f>IFERROR('WEEKLY INPUT'!N115/'WEEKLY INPUT'!F115*90,0)</f>
        <v/>
      </c>
      <c r="P115" s="5">
        <f>IFERROR('WEEKLY INPUT'!O115/'WEEKLY INPUT'!F115*90,0)</f>
        <v/>
      </c>
      <c r="Q115" s="5">
        <f>IFERROR(('WEEKLY INPUT'!J115*2+'WEEKLY INPUT'!K115*1+'WEEKLY INPUT'!O115*0.2)/'WEEKLY INPUT'!F115,0)</f>
        <v/>
      </c>
      <c r="R115" s="5">
        <f>MAX(0.25,MIN(1.15,(F115/540)*0.5+G115*0.5))</f>
        <v/>
      </c>
      <c r="S115" s="5">
        <f>MAX(0.70,MIN(1.10,0.85+0.15*G115))</f>
        <v/>
      </c>
      <c r="T115" s="5">
        <f>IF(A115="","",2*('WEEKLY INPUT'!P115/90)+(H115*5+I115*3)*('WEEKLY INPUT'!P115/90)+(P115*0.15)*('WEEKLY INPUT'!P115/90)+Q115*0.25)</f>
        <v/>
      </c>
      <c r="U115" s="5">
        <f>IF($A115="","",$T115*(1+($3-'WEEKLY INPUT'!R115)*0.10)*$R115*$S115*1.0)</f>
        <v/>
      </c>
      <c r="V115" s="5">
        <f>IF($A115="","",$T115*(1+($3-'WEEKLY INPUT'!S115)*0.10)*$R115*$S115*0.975)</f>
        <v/>
      </c>
      <c r="W115" s="5">
        <f>IF($A115="","",$T115*(1+($3-'WEEKLY INPUT'!T115)*0.10)*$R115*$S115*0.95)</f>
        <v/>
      </c>
      <c r="X115" s="5">
        <f>IF($A115="","",$T115*(1+($3-'WEEKLY INPUT'!U115)*0.10)*$R115*$S115*0.925)</f>
        <v/>
      </c>
      <c r="Y115" s="5">
        <f>IF($A115="","",$T115*(1+($3-'WEEKLY INPUT'!V115)*0.10)*$R115*$S115*0.9)</f>
        <v/>
      </c>
      <c r="Z115" s="5">
        <f>IF($A115="","",$T115*(1+($3-'WEEKLY INPUT'!W115)*0.10)*$R115*$S115*0.875)</f>
        <v/>
      </c>
      <c r="AA115" s="5">
        <f>IF($A115="","",$T115*(1+($3-'WEEKLY INPUT'!X115)*0.10)*$R115*$S115*0.85)</f>
        <v/>
      </c>
      <c r="AB115" s="5">
        <f>IF($A115="","",$T115*(1+($3-'WEEKLY INPUT'!Y115)*0.10)*$R115*$S115*0.825)</f>
        <v/>
      </c>
      <c r="AC115" s="5">
        <f>SUM(U115:AB115)</f>
        <v/>
      </c>
      <c r="AD115" s="5">
        <f>SUM(U115:Z115)</f>
        <v/>
      </c>
      <c r="AE115" s="5">
        <f>IFERROR(AD115/D115,0)</f>
        <v/>
      </c>
      <c r="AF115" s="5">
        <f>MAX(0,1-R115)</f>
        <v/>
      </c>
      <c r="AG115" s="5">
        <f>IFERROR((H115+I115)*R115*(1+0.10*(3-'WEEKLY INPUT'!R115)),"")</f>
        <v/>
      </c>
      <c r="AH115" s="5">
        <f>IFERROR(AG115/SUMPRODUCT($AG$6:$AG$205),"")</f>
        <v/>
      </c>
      <c r="AI115" s="5">
        <f>IFERROR(AD115*(1-AF115*0.5)*(1+0.15*AE115),0)</f>
        <v/>
      </c>
      <c r="AJ115" s="5">
        <f>IF(A115="","",RANK(AI115,$AI$6:$AI$205,0))</f>
        <v/>
      </c>
      <c r="AK115" s="5">
        <f>IFERROR('WEEKLY INPUT'!Z115,"")</f>
        <v/>
      </c>
    </row>
    <row r="116">
      <c r="A116" s="5">
        <f>IFERROR('WEEKLY INPUT'!A116,"")</f>
        <v/>
      </c>
      <c r="B116" s="5">
        <f>IFERROR('WEEKLY INPUT'!B116,"")</f>
        <v/>
      </c>
      <c r="C116" s="5">
        <f>IFERROR('WEEKLY INPUT'!C116,"")</f>
        <v/>
      </c>
      <c r="D116" s="5">
        <f>IFERROR('WEEKLY INPUT'!D116,0)</f>
        <v/>
      </c>
      <c r="E116" s="5">
        <f>IFERROR('WEEKLY INPUT'!E116,0)</f>
        <v/>
      </c>
      <c r="F116" s="5">
        <f>IFERROR('WEEKLY INPUT'!F116,0)</f>
        <v/>
      </c>
      <c r="G116" s="5">
        <f>IFERROR('WEEKLY INPUT'!Q116,0)</f>
        <v/>
      </c>
      <c r="H116" s="5">
        <f>IFERROR('WEEKLY INPUT'!H116/'WEEKLY INPUT'!F116*90,0)</f>
        <v/>
      </c>
      <c r="I116" s="5">
        <f>IFERROR('WEEKLY INPUT'!I116/'WEEKLY INPUT'!F116*90,0)</f>
        <v/>
      </c>
      <c r="J116" s="5">
        <f>H116+I116</f>
        <v/>
      </c>
      <c r="K116" s="5">
        <f>IFERROR('WEEKLY INPUT'!J116/'WEEKLY INPUT'!F116*90,0)</f>
        <v/>
      </c>
      <c r="L116" s="5">
        <f>IFERROR('WEEKLY INPUT'!K116/'WEEKLY INPUT'!F116*90,0)</f>
        <v/>
      </c>
      <c r="M116" s="5">
        <f>IFERROR('WEEKLY INPUT'!L116/'WEEKLY INPUT'!F116*90,0)</f>
        <v/>
      </c>
      <c r="N116" s="5">
        <f>IFERROR('WEEKLY INPUT'!M116/'WEEKLY INPUT'!F116*90,0)</f>
        <v/>
      </c>
      <c r="O116" s="5">
        <f>IFERROR('WEEKLY INPUT'!N116/'WEEKLY INPUT'!F116*90,0)</f>
        <v/>
      </c>
      <c r="P116" s="5">
        <f>IFERROR('WEEKLY INPUT'!O116/'WEEKLY INPUT'!F116*90,0)</f>
        <v/>
      </c>
      <c r="Q116" s="5">
        <f>IFERROR(('WEEKLY INPUT'!J116*2+'WEEKLY INPUT'!K116*1+'WEEKLY INPUT'!O116*0.2)/'WEEKLY INPUT'!F116,0)</f>
        <v/>
      </c>
      <c r="R116" s="5">
        <f>MAX(0.25,MIN(1.15,(F116/540)*0.5+G116*0.5))</f>
        <v/>
      </c>
      <c r="S116" s="5">
        <f>MAX(0.70,MIN(1.10,0.85+0.15*G116))</f>
        <v/>
      </c>
      <c r="T116" s="5">
        <f>IF(A116="","",2*('WEEKLY INPUT'!P116/90)+(H116*5+I116*3)*('WEEKLY INPUT'!P116/90)+(P116*0.15)*('WEEKLY INPUT'!P116/90)+Q116*0.25)</f>
        <v/>
      </c>
      <c r="U116" s="5">
        <f>IF($A116="","",$T116*(1+($3-'WEEKLY INPUT'!R116)*0.10)*$R116*$S116*1.0)</f>
        <v/>
      </c>
      <c r="V116" s="5">
        <f>IF($A116="","",$T116*(1+($3-'WEEKLY INPUT'!S116)*0.10)*$R116*$S116*0.975)</f>
        <v/>
      </c>
      <c r="W116" s="5">
        <f>IF($A116="","",$T116*(1+($3-'WEEKLY INPUT'!T116)*0.10)*$R116*$S116*0.95)</f>
        <v/>
      </c>
      <c r="X116" s="5">
        <f>IF($A116="","",$T116*(1+($3-'WEEKLY INPUT'!U116)*0.10)*$R116*$S116*0.925)</f>
        <v/>
      </c>
      <c r="Y116" s="5">
        <f>IF($A116="","",$T116*(1+($3-'WEEKLY INPUT'!V116)*0.10)*$R116*$S116*0.9)</f>
        <v/>
      </c>
      <c r="Z116" s="5">
        <f>IF($A116="","",$T116*(1+($3-'WEEKLY INPUT'!W116)*0.10)*$R116*$S116*0.875)</f>
        <v/>
      </c>
      <c r="AA116" s="5">
        <f>IF($A116="","",$T116*(1+($3-'WEEKLY INPUT'!X116)*0.10)*$R116*$S116*0.85)</f>
        <v/>
      </c>
      <c r="AB116" s="5">
        <f>IF($A116="","",$T116*(1+($3-'WEEKLY INPUT'!Y116)*0.10)*$R116*$S116*0.825)</f>
        <v/>
      </c>
      <c r="AC116" s="5">
        <f>SUM(U116:AB116)</f>
        <v/>
      </c>
      <c r="AD116" s="5">
        <f>SUM(U116:Z116)</f>
        <v/>
      </c>
      <c r="AE116" s="5">
        <f>IFERROR(AD116/D116,0)</f>
        <v/>
      </c>
      <c r="AF116" s="5">
        <f>MAX(0,1-R116)</f>
        <v/>
      </c>
      <c r="AG116" s="5">
        <f>IFERROR((H116+I116)*R116*(1+0.10*(3-'WEEKLY INPUT'!R116)),"")</f>
        <v/>
      </c>
      <c r="AH116" s="5">
        <f>IFERROR(AG116/SUMPRODUCT($AG$6:$AG$205),"")</f>
        <v/>
      </c>
      <c r="AI116" s="5">
        <f>IFERROR(AD116*(1-AF116*0.5)*(1+0.15*AE116),0)</f>
        <v/>
      </c>
      <c r="AJ116" s="5">
        <f>IF(A116="","",RANK(AI116,$AI$6:$AI$205,0))</f>
        <v/>
      </c>
      <c r="AK116" s="5">
        <f>IFERROR('WEEKLY INPUT'!Z116,"")</f>
        <v/>
      </c>
    </row>
    <row r="117">
      <c r="A117" s="5">
        <f>IFERROR('WEEKLY INPUT'!A117,"")</f>
        <v/>
      </c>
      <c r="B117" s="5">
        <f>IFERROR('WEEKLY INPUT'!B117,"")</f>
        <v/>
      </c>
      <c r="C117" s="5">
        <f>IFERROR('WEEKLY INPUT'!C117,"")</f>
        <v/>
      </c>
      <c r="D117" s="5">
        <f>IFERROR('WEEKLY INPUT'!D117,0)</f>
        <v/>
      </c>
      <c r="E117" s="5">
        <f>IFERROR('WEEKLY INPUT'!E117,0)</f>
        <v/>
      </c>
      <c r="F117" s="5">
        <f>IFERROR('WEEKLY INPUT'!F117,0)</f>
        <v/>
      </c>
      <c r="G117" s="5">
        <f>IFERROR('WEEKLY INPUT'!Q117,0)</f>
        <v/>
      </c>
      <c r="H117" s="5">
        <f>IFERROR('WEEKLY INPUT'!H117/'WEEKLY INPUT'!F117*90,0)</f>
        <v/>
      </c>
      <c r="I117" s="5">
        <f>IFERROR('WEEKLY INPUT'!I117/'WEEKLY INPUT'!F117*90,0)</f>
        <v/>
      </c>
      <c r="J117" s="5">
        <f>H117+I117</f>
        <v/>
      </c>
      <c r="K117" s="5">
        <f>IFERROR('WEEKLY INPUT'!J117/'WEEKLY INPUT'!F117*90,0)</f>
        <v/>
      </c>
      <c r="L117" s="5">
        <f>IFERROR('WEEKLY INPUT'!K117/'WEEKLY INPUT'!F117*90,0)</f>
        <v/>
      </c>
      <c r="M117" s="5">
        <f>IFERROR('WEEKLY INPUT'!L117/'WEEKLY INPUT'!F117*90,0)</f>
        <v/>
      </c>
      <c r="N117" s="5">
        <f>IFERROR('WEEKLY INPUT'!M117/'WEEKLY INPUT'!F117*90,0)</f>
        <v/>
      </c>
      <c r="O117" s="5">
        <f>IFERROR('WEEKLY INPUT'!N117/'WEEKLY INPUT'!F117*90,0)</f>
        <v/>
      </c>
      <c r="P117" s="5">
        <f>IFERROR('WEEKLY INPUT'!O117/'WEEKLY INPUT'!F117*90,0)</f>
        <v/>
      </c>
      <c r="Q117" s="5">
        <f>IFERROR(('WEEKLY INPUT'!J117*2+'WEEKLY INPUT'!K117*1+'WEEKLY INPUT'!O117*0.2)/'WEEKLY INPUT'!F117,0)</f>
        <v/>
      </c>
      <c r="R117" s="5">
        <f>MAX(0.25,MIN(1.15,(F117/540)*0.5+G117*0.5))</f>
        <v/>
      </c>
      <c r="S117" s="5">
        <f>MAX(0.70,MIN(1.10,0.85+0.15*G117))</f>
        <v/>
      </c>
      <c r="T117" s="5">
        <f>IF(A117="","",2*('WEEKLY INPUT'!P117/90)+(H117*5+I117*3)*('WEEKLY INPUT'!P117/90)+(P117*0.15)*('WEEKLY INPUT'!P117/90)+Q117*0.25)</f>
        <v/>
      </c>
      <c r="U117" s="5">
        <f>IF($A117="","",$T117*(1+($3-'WEEKLY INPUT'!R117)*0.10)*$R117*$S117*1.0)</f>
        <v/>
      </c>
      <c r="V117" s="5">
        <f>IF($A117="","",$T117*(1+($3-'WEEKLY INPUT'!S117)*0.10)*$R117*$S117*0.975)</f>
        <v/>
      </c>
      <c r="W117" s="5">
        <f>IF($A117="","",$T117*(1+($3-'WEEKLY INPUT'!T117)*0.10)*$R117*$S117*0.95)</f>
        <v/>
      </c>
      <c r="X117" s="5">
        <f>IF($A117="","",$T117*(1+($3-'WEEKLY INPUT'!U117)*0.10)*$R117*$S117*0.925)</f>
        <v/>
      </c>
      <c r="Y117" s="5">
        <f>IF($A117="","",$T117*(1+($3-'WEEKLY INPUT'!V117)*0.10)*$R117*$S117*0.9)</f>
        <v/>
      </c>
      <c r="Z117" s="5">
        <f>IF($A117="","",$T117*(1+($3-'WEEKLY INPUT'!W117)*0.10)*$R117*$S117*0.875)</f>
        <v/>
      </c>
      <c r="AA117" s="5">
        <f>IF($A117="","",$T117*(1+($3-'WEEKLY INPUT'!X117)*0.10)*$R117*$S117*0.85)</f>
        <v/>
      </c>
      <c r="AB117" s="5">
        <f>IF($A117="","",$T117*(1+($3-'WEEKLY INPUT'!Y117)*0.10)*$R117*$S117*0.825)</f>
        <v/>
      </c>
      <c r="AC117" s="5">
        <f>SUM(U117:AB117)</f>
        <v/>
      </c>
      <c r="AD117" s="5">
        <f>SUM(U117:Z117)</f>
        <v/>
      </c>
      <c r="AE117" s="5">
        <f>IFERROR(AD117/D117,0)</f>
        <v/>
      </c>
      <c r="AF117" s="5">
        <f>MAX(0,1-R117)</f>
        <v/>
      </c>
      <c r="AG117" s="5">
        <f>IFERROR((H117+I117)*R117*(1+0.10*(3-'WEEKLY INPUT'!R117)),"")</f>
        <v/>
      </c>
      <c r="AH117" s="5">
        <f>IFERROR(AG117/SUMPRODUCT($AG$6:$AG$205),"")</f>
        <v/>
      </c>
      <c r="AI117" s="5">
        <f>IFERROR(AD117*(1-AF117*0.5)*(1+0.15*AE117),0)</f>
        <v/>
      </c>
      <c r="AJ117" s="5">
        <f>IF(A117="","",RANK(AI117,$AI$6:$AI$205,0))</f>
        <v/>
      </c>
      <c r="AK117" s="5">
        <f>IFERROR('WEEKLY INPUT'!Z117,"")</f>
        <v/>
      </c>
    </row>
    <row r="118">
      <c r="A118" s="5">
        <f>IFERROR('WEEKLY INPUT'!A118,"")</f>
        <v/>
      </c>
      <c r="B118" s="5">
        <f>IFERROR('WEEKLY INPUT'!B118,"")</f>
        <v/>
      </c>
      <c r="C118" s="5">
        <f>IFERROR('WEEKLY INPUT'!C118,"")</f>
        <v/>
      </c>
      <c r="D118" s="5">
        <f>IFERROR('WEEKLY INPUT'!D118,0)</f>
        <v/>
      </c>
      <c r="E118" s="5">
        <f>IFERROR('WEEKLY INPUT'!E118,0)</f>
        <v/>
      </c>
      <c r="F118" s="5">
        <f>IFERROR('WEEKLY INPUT'!F118,0)</f>
        <v/>
      </c>
      <c r="G118" s="5">
        <f>IFERROR('WEEKLY INPUT'!Q118,0)</f>
        <v/>
      </c>
      <c r="H118" s="5">
        <f>IFERROR('WEEKLY INPUT'!H118/'WEEKLY INPUT'!F118*90,0)</f>
        <v/>
      </c>
      <c r="I118" s="5">
        <f>IFERROR('WEEKLY INPUT'!I118/'WEEKLY INPUT'!F118*90,0)</f>
        <v/>
      </c>
      <c r="J118" s="5">
        <f>H118+I118</f>
        <v/>
      </c>
      <c r="K118" s="5">
        <f>IFERROR('WEEKLY INPUT'!J118/'WEEKLY INPUT'!F118*90,0)</f>
        <v/>
      </c>
      <c r="L118" s="5">
        <f>IFERROR('WEEKLY INPUT'!K118/'WEEKLY INPUT'!F118*90,0)</f>
        <v/>
      </c>
      <c r="M118" s="5">
        <f>IFERROR('WEEKLY INPUT'!L118/'WEEKLY INPUT'!F118*90,0)</f>
        <v/>
      </c>
      <c r="N118" s="5">
        <f>IFERROR('WEEKLY INPUT'!M118/'WEEKLY INPUT'!F118*90,0)</f>
        <v/>
      </c>
      <c r="O118" s="5">
        <f>IFERROR('WEEKLY INPUT'!N118/'WEEKLY INPUT'!F118*90,0)</f>
        <v/>
      </c>
      <c r="P118" s="5">
        <f>IFERROR('WEEKLY INPUT'!O118/'WEEKLY INPUT'!F118*90,0)</f>
        <v/>
      </c>
      <c r="Q118" s="5">
        <f>IFERROR(('WEEKLY INPUT'!J118*2+'WEEKLY INPUT'!K118*1+'WEEKLY INPUT'!O118*0.2)/'WEEKLY INPUT'!F118,0)</f>
        <v/>
      </c>
      <c r="R118" s="5">
        <f>MAX(0.25,MIN(1.15,(F118/540)*0.5+G118*0.5))</f>
        <v/>
      </c>
      <c r="S118" s="5">
        <f>MAX(0.70,MIN(1.10,0.85+0.15*G118))</f>
        <v/>
      </c>
      <c r="T118" s="5">
        <f>IF(A118="","",2*('WEEKLY INPUT'!P118/90)+(H118*5+I118*3)*('WEEKLY INPUT'!P118/90)+(P118*0.15)*('WEEKLY INPUT'!P118/90)+Q118*0.25)</f>
        <v/>
      </c>
      <c r="U118" s="5">
        <f>IF($A118="","",$T118*(1+($3-'WEEKLY INPUT'!R118)*0.10)*$R118*$S118*1.0)</f>
        <v/>
      </c>
      <c r="V118" s="5">
        <f>IF($A118="","",$T118*(1+($3-'WEEKLY INPUT'!S118)*0.10)*$R118*$S118*0.975)</f>
        <v/>
      </c>
      <c r="W118" s="5">
        <f>IF($A118="","",$T118*(1+($3-'WEEKLY INPUT'!T118)*0.10)*$R118*$S118*0.95)</f>
        <v/>
      </c>
      <c r="X118" s="5">
        <f>IF($A118="","",$T118*(1+($3-'WEEKLY INPUT'!U118)*0.10)*$R118*$S118*0.925)</f>
        <v/>
      </c>
      <c r="Y118" s="5">
        <f>IF($A118="","",$T118*(1+($3-'WEEKLY INPUT'!V118)*0.10)*$R118*$S118*0.9)</f>
        <v/>
      </c>
      <c r="Z118" s="5">
        <f>IF($A118="","",$T118*(1+($3-'WEEKLY INPUT'!W118)*0.10)*$R118*$S118*0.875)</f>
        <v/>
      </c>
      <c r="AA118" s="5">
        <f>IF($A118="","",$T118*(1+($3-'WEEKLY INPUT'!X118)*0.10)*$R118*$S118*0.85)</f>
        <v/>
      </c>
      <c r="AB118" s="5">
        <f>IF($A118="","",$T118*(1+($3-'WEEKLY INPUT'!Y118)*0.10)*$R118*$S118*0.825)</f>
        <v/>
      </c>
      <c r="AC118" s="5">
        <f>SUM(U118:AB118)</f>
        <v/>
      </c>
      <c r="AD118" s="5">
        <f>SUM(U118:Z118)</f>
        <v/>
      </c>
      <c r="AE118" s="5">
        <f>IFERROR(AD118/D118,0)</f>
        <v/>
      </c>
      <c r="AF118" s="5">
        <f>MAX(0,1-R118)</f>
        <v/>
      </c>
      <c r="AG118" s="5">
        <f>IFERROR((H118+I118)*R118*(1+0.10*(3-'WEEKLY INPUT'!R118)),"")</f>
        <v/>
      </c>
      <c r="AH118" s="5">
        <f>IFERROR(AG118/SUMPRODUCT($AG$6:$AG$205),"")</f>
        <v/>
      </c>
      <c r="AI118" s="5">
        <f>IFERROR(AD118*(1-AF118*0.5)*(1+0.15*AE118),0)</f>
        <v/>
      </c>
      <c r="AJ118" s="5">
        <f>IF(A118="","",RANK(AI118,$AI$6:$AI$205,0))</f>
        <v/>
      </c>
      <c r="AK118" s="5">
        <f>IFERROR('WEEKLY INPUT'!Z118,"")</f>
        <v/>
      </c>
    </row>
    <row r="119">
      <c r="A119" s="5">
        <f>IFERROR('WEEKLY INPUT'!A119,"")</f>
        <v/>
      </c>
      <c r="B119" s="5">
        <f>IFERROR('WEEKLY INPUT'!B119,"")</f>
        <v/>
      </c>
      <c r="C119" s="5">
        <f>IFERROR('WEEKLY INPUT'!C119,"")</f>
        <v/>
      </c>
      <c r="D119" s="5">
        <f>IFERROR('WEEKLY INPUT'!D119,0)</f>
        <v/>
      </c>
      <c r="E119" s="5">
        <f>IFERROR('WEEKLY INPUT'!E119,0)</f>
        <v/>
      </c>
      <c r="F119" s="5">
        <f>IFERROR('WEEKLY INPUT'!F119,0)</f>
        <v/>
      </c>
      <c r="G119" s="5">
        <f>IFERROR('WEEKLY INPUT'!Q119,0)</f>
        <v/>
      </c>
      <c r="H119" s="5">
        <f>IFERROR('WEEKLY INPUT'!H119/'WEEKLY INPUT'!F119*90,0)</f>
        <v/>
      </c>
      <c r="I119" s="5">
        <f>IFERROR('WEEKLY INPUT'!I119/'WEEKLY INPUT'!F119*90,0)</f>
        <v/>
      </c>
      <c r="J119" s="5">
        <f>H119+I119</f>
        <v/>
      </c>
      <c r="K119" s="5">
        <f>IFERROR('WEEKLY INPUT'!J119/'WEEKLY INPUT'!F119*90,0)</f>
        <v/>
      </c>
      <c r="L119" s="5">
        <f>IFERROR('WEEKLY INPUT'!K119/'WEEKLY INPUT'!F119*90,0)</f>
        <v/>
      </c>
      <c r="M119" s="5">
        <f>IFERROR('WEEKLY INPUT'!L119/'WEEKLY INPUT'!F119*90,0)</f>
        <v/>
      </c>
      <c r="N119" s="5">
        <f>IFERROR('WEEKLY INPUT'!M119/'WEEKLY INPUT'!F119*90,0)</f>
        <v/>
      </c>
      <c r="O119" s="5">
        <f>IFERROR('WEEKLY INPUT'!N119/'WEEKLY INPUT'!F119*90,0)</f>
        <v/>
      </c>
      <c r="P119" s="5">
        <f>IFERROR('WEEKLY INPUT'!O119/'WEEKLY INPUT'!F119*90,0)</f>
        <v/>
      </c>
      <c r="Q119" s="5">
        <f>IFERROR(('WEEKLY INPUT'!J119*2+'WEEKLY INPUT'!K119*1+'WEEKLY INPUT'!O119*0.2)/'WEEKLY INPUT'!F119,0)</f>
        <v/>
      </c>
      <c r="R119" s="5">
        <f>MAX(0.25,MIN(1.15,(F119/540)*0.5+G119*0.5))</f>
        <v/>
      </c>
      <c r="S119" s="5">
        <f>MAX(0.70,MIN(1.10,0.85+0.15*G119))</f>
        <v/>
      </c>
      <c r="T119" s="5">
        <f>IF(A119="","",2*('WEEKLY INPUT'!P119/90)+(H119*5+I119*3)*('WEEKLY INPUT'!P119/90)+(P119*0.15)*('WEEKLY INPUT'!P119/90)+Q119*0.25)</f>
        <v/>
      </c>
      <c r="U119" s="5">
        <f>IF($A119="","",$T119*(1+($3-'WEEKLY INPUT'!R119)*0.10)*$R119*$S119*1.0)</f>
        <v/>
      </c>
      <c r="V119" s="5">
        <f>IF($A119="","",$T119*(1+($3-'WEEKLY INPUT'!S119)*0.10)*$R119*$S119*0.975)</f>
        <v/>
      </c>
      <c r="W119" s="5">
        <f>IF($A119="","",$T119*(1+($3-'WEEKLY INPUT'!T119)*0.10)*$R119*$S119*0.95)</f>
        <v/>
      </c>
      <c r="X119" s="5">
        <f>IF($A119="","",$T119*(1+($3-'WEEKLY INPUT'!U119)*0.10)*$R119*$S119*0.925)</f>
        <v/>
      </c>
      <c r="Y119" s="5">
        <f>IF($A119="","",$T119*(1+($3-'WEEKLY INPUT'!V119)*0.10)*$R119*$S119*0.9)</f>
        <v/>
      </c>
      <c r="Z119" s="5">
        <f>IF($A119="","",$T119*(1+($3-'WEEKLY INPUT'!W119)*0.10)*$R119*$S119*0.875)</f>
        <v/>
      </c>
      <c r="AA119" s="5">
        <f>IF($A119="","",$T119*(1+($3-'WEEKLY INPUT'!X119)*0.10)*$R119*$S119*0.85)</f>
        <v/>
      </c>
      <c r="AB119" s="5">
        <f>IF($A119="","",$T119*(1+($3-'WEEKLY INPUT'!Y119)*0.10)*$R119*$S119*0.825)</f>
        <v/>
      </c>
      <c r="AC119" s="5">
        <f>SUM(U119:AB119)</f>
        <v/>
      </c>
      <c r="AD119" s="5">
        <f>SUM(U119:Z119)</f>
        <v/>
      </c>
      <c r="AE119" s="5">
        <f>IFERROR(AD119/D119,0)</f>
        <v/>
      </c>
      <c r="AF119" s="5">
        <f>MAX(0,1-R119)</f>
        <v/>
      </c>
      <c r="AG119" s="5">
        <f>IFERROR((H119+I119)*R119*(1+0.10*(3-'WEEKLY INPUT'!R119)),"")</f>
        <v/>
      </c>
      <c r="AH119" s="5">
        <f>IFERROR(AG119/SUMPRODUCT($AG$6:$AG$205),"")</f>
        <v/>
      </c>
      <c r="AI119" s="5">
        <f>IFERROR(AD119*(1-AF119*0.5)*(1+0.15*AE119),0)</f>
        <v/>
      </c>
      <c r="AJ119" s="5">
        <f>IF(A119="","",RANK(AI119,$AI$6:$AI$205,0))</f>
        <v/>
      </c>
      <c r="AK119" s="5">
        <f>IFERROR('WEEKLY INPUT'!Z119,"")</f>
        <v/>
      </c>
    </row>
    <row r="120">
      <c r="A120" s="5">
        <f>IFERROR('WEEKLY INPUT'!A120,"")</f>
        <v/>
      </c>
      <c r="B120" s="5">
        <f>IFERROR('WEEKLY INPUT'!B120,"")</f>
        <v/>
      </c>
      <c r="C120" s="5">
        <f>IFERROR('WEEKLY INPUT'!C120,"")</f>
        <v/>
      </c>
      <c r="D120" s="5">
        <f>IFERROR('WEEKLY INPUT'!D120,0)</f>
        <v/>
      </c>
      <c r="E120" s="5">
        <f>IFERROR('WEEKLY INPUT'!E120,0)</f>
        <v/>
      </c>
      <c r="F120" s="5">
        <f>IFERROR('WEEKLY INPUT'!F120,0)</f>
        <v/>
      </c>
      <c r="G120" s="5">
        <f>IFERROR('WEEKLY INPUT'!Q120,0)</f>
        <v/>
      </c>
      <c r="H120" s="5">
        <f>IFERROR('WEEKLY INPUT'!H120/'WEEKLY INPUT'!F120*90,0)</f>
        <v/>
      </c>
      <c r="I120" s="5">
        <f>IFERROR('WEEKLY INPUT'!I120/'WEEKLY INPUT'!F120*90,0)</f>
        <v/>
      </c>
      <c r="J120" s="5">
        <f>H120+I120</f>
        <v/>
      </c>
      <c r="K120" s="5">
        <f>IFERROR('WEEKLY INPUT'!J120/'WEEKLY INPUT'!F120*90,0)</f>
        <v/>
      </c>
      <c r="L120" s="5">
        <f>IFERROR('WEEKLY INPUT'!K120/'WEEKLY INPUT'!F120*90,0)</f>
        <v/>
      </c>
      <c r="M120" s="5">
        <f>IFERROR('WEEKLY INPUT'!L120/'WEEKLY INPUT'!F120*90,0)</f>
        <v/>
      </c>
      <c r="N120" s="5">
        <f>IFERROR('WEEKLY INPUT'!M120/'WEEKLY INPUT'!F120*90,0)</f>
        <v/>
      </c>
      <c r="O120" s="5">
        <f>IFERROR('WEEKLY INPUT'!N120/'WEEKLY INPUT'!F120*90,0)</f>
        <v/>
      </c>
      <c r="P120" s="5">
        <f>IFERROR('WEEKLY INPUT'!O120/'WEEKLY INPUT'!F120*90,0)</f>
        <v/>
      </c>
      <c r="Q120" s="5">
        <f>IFERROR(('WEEKLY INPUT'!J120*2+'WEEKLY INPUT'!K120*1+'WEEKLY INPUT'!O120*0.2)/'WEEKLY INPUT'!F120,0)</f>
        <v/>
      </c>
      <c r="R120" s="5">
        <f>MAX(0.25,MIN(1.15,(F120/540)*0.5+G120*0.5))</f>
        <v/>
      </c>
      <c r="S120" s="5">
        <f>MAX(0.70,MIN(1.10,0.85+0.15*G120))</f>
        <v/>
      </c>
      <c r="T120" s="5">
        <f>IF(A120="","",2*('WEEKLY INPUT'!P120/90)+(H120*5+I120*3)*('WEEKLY INPUT'!P120/90)+(P120*0.15)*('WEEKLY INPUT'!P120/90)+Q120*0.25)</f>
        <v/>
      </c>
      <c r="U120" s="5">
        <f>IF($A120="","",$T120*(1+($3-'WEEKLY INPUT'!R120)*0.10)*$R120*$S120*1.0)</f>
        <v/>
      </c>
      <c r="V120" s="5">
        <f>IF($A120="","",$T120*(1+($3-'WEEKLY INPUT'!S120)*0.10)*$R120*$S120*0.975)</f>
        <v/>
      </c>
      <c r="W120" s="5">
        <f>IF($A120="","",$T120*(1+($3-'WEEKLY INPUT'!T120)*0.10)*$R120*$S120*0.95)</f>
        <v/>
      </c>
      <c r="X120" s="5">
        <f>IF($A120="","",$T120*(1+($3-'WEEKLY INPUT'!U120)*0.10)*$R120*$S120*0.925)</f>
        <v/>
      </c>
      <c r="Y120" s="5">
        <f>IF($A120="","",$T120*(1+($3-'WEEKLY INPUT'!V120)*0.10)*$R120*$S120*0.9)</f>
        <v/>
      </c>
      <c r="Z120" s="5">
        <f>IF($A120="","",$T120*(1+($3-'WEEKLY INPUT'!W120)*0.10)*$R120*$S120*0.875)</f>
        <v/>
      </c>
      <c r="AA120" s="5">
        <f>IF($A120="","",$T120*(1+($3-'WEEKLY INPUT'!X120)*0.10)*$R120*$S120*0.85)</f>
        <v/>
      </c>
      <c r="AB120" s="5">
        <f>IF($A120="","",$T120*(1+($3-'WEEKLY INPUT'!Y120)*0.10)*$R120*$S120*0.825)</f>
        <v/>
      </c>
      <c r="AC120" s="5">
        <f>SUM(U120:AB120)</f>
        <v/>
      </c>
      <c r="AD120" s="5">
        <f>SUM(U120:Z120)</f>
        <v/>
      </c>
      <c r="AE120" s="5">
        <f>IFERROR(AD120/D120,0)</f>
        <v/>
      </c>
      <c r="AF120" s="5">
        <f>MAX(0,1-R120)</f>
        <v/>
      </c>
      <c r="AG120" s="5">
        <f>IFERROR((H120+I120)*R120*(1+0.10*(3-'WEEKLY INPUT'!R120)),"")</f>
        <v/>
      </c>
      <c r="AH120" s="5">
        <f>IFERROR(AG120/SUMPRODUCT($AG$6:$AG$205),"")</f>
        <v/>
      </c>
      <c r="AI120" s="5">
        <f>IFERROR(AD120*(1-AF120*0.5)*(1+0.15*AE120),0)</f>
        <v/>
      </c>
      <c r="AJ120" s="5">
        <f>IF(A120="","",RANK(AI120,$AI$6:$AI$205,0))</f>
        <v/>
      </c>
      <c r="AK120" s="5">
        <f>IFERROR('WEEKLY INPUT'!Z120,"")</f>
        <v/>
      </c>
    </row>
    <row r="121">
      <c r="A121" s="5">
        <f>IFERROR('WEEKLY INPUT'!A121,"")</f>
        <v/>
      </c>
      <c r="B121" s="5">
        <f>IFERROR('WEEKLY INPUT'!B121,"")</f>
        <v/>
      </c>
      <c r="C121" s="5">
        <f>IFERROR('WEEKLY INPUT'!C121,"")</f>
        <v/>
      </c>
      <c r="D121" s="5">
        <f>IFERROR('WEEKLY INPUT'!D121,0)</f>
        <v/>
      </c>
      <c r="E121" s="5">
        <f>IFERROR('WEEKLY INPUT'!E121,0)</f>
        <v/>
      </c>
      <c r="F121" s="5">
        <f>IFERROR('WEEKLY INPUT'!F121,0)</f>
        <v/>
      </c>
      <c r="G121" s="5">
        <f>IFERROR('WEEKLY INPUT'!Q121,0)</f>
        <v/>
      </c>
      <c r="H121" s="5">
        <f>IFERROR('WEEKLY INPUT'!H121/'WEEKLY INPUT'!F121*90,0)</f>
        <v/>
      </c>
      <c r="I121" s="5">
        <f>IFERROR('WEEKLY INPUT'!I121/'WEEKLY INPUT'!F121*90,0)</f>
        <v/>
      </c>
      <c r="J121" s="5">
        <f>H121+I121</f>
        <v/>
      </c>
      <c r="K121" s="5">
        <f>IFERROR('WEEKLY INPUT'!J121/'WEEKLY INPUT'!F121*90,0)</f>
        <v/>
      </c>
      <c r="L121" s="5">
        <f>IFERROR('WEEKLY INPUT'!K121/'WEEKLY INPUT'!F121*90,0)</f>
        <v/>
      </c>
      <c r="M121" s="5">
        <f>IFERROR('WEEKLY INPUT'!L121/'WEEKLY INPUT'!F121*90,0)</f>
        <v/>
      </c>
      <c r="N121" s="5">
        <f>IFERROR('WEEKLY INPUT'!M121/'WEEKLY INPUT'!F121*90,0)</f>
        <v/>
      </c>
      <c r="O121" s="5">
        <f>IFERROR('WEEKLY INPUT'!N121/'WEEKLY INPUT'!F121*90,0)</f>
        <v/>
      </c>
      <c r="P121" s="5">
        <f>IFERROR('WEEKLY INPUT'!O121/'WEEKLY INPUT'!F121*90,0)</f>
        <v/>
      </c>
      <c r="Q121" s="5">
        <f>IFERROR(('WEEKLY INPUT'!J121*2+'WEEKLY INPUT'!K121*1+'WEEKLY INPUT'!O121*0.2)/'WEEKLY INPUT'!F121,0)</f>
        <v/>
      </c>
      <c r="R121" s="5">
        <f>MAX(0.25,MIN(1.15,(F121/540)*0.5+G121*0.5))</f>
        <v/>
      </c>
      <c r="S121" s="5">
        <f>MAX(0.70,MIN(1.10,0.85+0.15*G121))</f>
        <v/>
      </c>
      <c r="T121" s="5">
        <f>IF(A121="","",2*('WEEKLY INPUT'!P121/90)+(H121*5+I121*3)*('WEEKLY INPUT'!P121/90)+(P121*0.15)*('WEEKLY INPUT'!P121/90)+Q121*0.25)</f>
        <v/>
      </c>
      <c r="U121" s="5">
        <f>IF($A121="","",$T121*(1+($3-'WEEKLY INPUT'!R121)*0.10)*$R121*$S121*1.0)</f>
        <v/>
      </c>
      <c r="V121" s="5">
        <f>IF($A121="","",$T121*(1+($3-'WEEKLY INPUT'!S121)*0.10)*$R121*$S121*0.975)</f>
        <v/>
      </c>
      <c r="W121" s="5">
        <f>IF($A121="","",$T121*(1+($3-'WEEKLY INPUT'!T121)*0.10)*$R121*$S121*0.95)</f>
        <v/>
      </c>
      <c r="X121" s="5">
        <f>IF($A121="","",$T121*(1+($3-'WEEKLY INPUT'!U121)*0.10)*$R121*$S121*0.925)</f>
        <v/>
      </c>
      <c r="Y121" s="5">
        <f>IF($A121="","",$T121*(1+($3-'WEEKLY INPUT'!V121)*0.10)*$R121*$S121*0.9)</f>
        <v/>
      </c>
      <c r="Z121" s="5">
        <f>IF($A121="","",$T121*(1+($3-'WEEKLY INPUT'!W121)*0.10)*$R121*$S121*0.875)</f>
        <v/>
      </c>
      <c r="AA121" s="5">
        <f>IF($A121="","",$T121*(1+($3-'WEEKLY INPUT'!X121)*0.10)*$R121*$S121*0.85)</f>
        <v/>
      </c>
      <c r="AB121" s="5">
        <f>IF($A121="","",$T121*(1+($3-'WEEKLY INPUT'!Y121)*0.10)*$R121*$S121*0.825)</f>
        <v/>
      </c>
      <c r="AC121" s="5">
        <f>SUM(U121:AB121)</f>
        <v/>
      </c>
      <c r="AD121" s="5">
        <f>SUM(U121:Z121)</f>
        <v/>
      </c>
      <c r="AE121" s="5">
        <f>IFERROR(AD121/D121,0)</f>
        <v/>
      </c>
      <c r="AF121" s="5">
        <f>MAX(0,1-R121)</f>
        <v/>
      </c>
      <c r="AG121" s="5">
        <f>IFERROR((H121+I121)*R121*(1+0.10*(3-'WEEKLY INPUT'!R121)),"")</f>
        <v/>
      </c>
      <c r="AH121" s="5">
        <f>IFERROR(AG121/SUMPRODUCT($AG$6:$AG$205),"")</f>
        <v/>
      </c>
      <c r="AI121" s="5">
        <f>IFERROR(AD121*(1-AF121*0.5)*(1+0.15*AE121),0)</f>
        <v/>
      </c>
      <c r="AJ121" s="5">
        <f>IF(A121="","",RANK(AI121,$AI$6:$AI$205,0))</f>
        <v/>
      </c>
      <c r="AK121" s="5">
        <f>IFERROR('WEEKLY INPUT'!Z121,"")</f>
        <v/>
      </c>
    </row>
    <row r="122">
      <c r="A122" s="5">
        <f>IFERROR('WEEKLY INPUT'!A122,"")</f>
        <v/>
      </c>
      <c r="B122" s="5">
        <f>IFERROR('WEEKLY INPUT'!B122,"")</f>
        <v/>
      </c>
      <c r="C122" s="5">
        <f>IFERROR('WEEKLY INPUT'!C122,"")</f>
        <v/>
      </c>
      <c r="D122" s="5">
        <f>IFERROR('WEEKLY INPUT'!D122,0)</f>
        <v/>
      </c>
      <c r="E122" s="5">
        <f>IFERROR('WEEKLY INPUT'!E122,0)</f>
        <v/>
      </c>
      <c r="F122" s="5">
        <f>IFERROR('WEEKLY INPUT'!F122,0)</f>
        <v/>
      </c>
      <c r="G122" s="5">
        <f>IFERROR('WEEKLY INPUT'!Q122,0)</f>
        <v/>
      </c>
      <c r="H122" s="5">
        <f>IFERROR('WEEKLY INPUT'!H122/'WEEKLY INPUT'!F122*90,0)</f>
        <v/>
      </c>
      <c r="I122" s="5">
        <f>IFERROR('WEEKLY INPUT'!I122/'WEEKLY INPUT'!F122*90,0)</f>
        <v/>
      </c>
      <c r="J122" s="5">
        <f>H122+I122</f>
        <v/>
      </c>
      <c r="K122" s="5">
        <f>IFERROR('WEEKLY INPUT'!J122/'WEEKLY INPUT'!F122*90,0)</f>
        <v/>
      </c>
      <c r="L122" s="5">
        <f>IFERROR('WEEKLY INPUT'!K122/'WEEKLY INPUT'!F122*90,0)</f>
        <v/>
      </c>
      <c r="M122" s="5">
        <f>IFERROR('WEEKLY INPUT'!L122/'WEEKLY INPUT'!F122*90,0)</f>
        <v/>
      </c>
      <c r="N122" s="5">
        <f>IFERROR('WEEKLY INPUT'!M122/'WEEKLY INPUT'!F122*90,0)</f>
        <v/>
      </c>
      <c r="O122" s="5">
        <f>IFERROR('WEEKLY INPUT'!N122/'WEEKLY INPUT'!F122*90,0)</f>
        <v/>
      </c>
      <c r="P122" s="5">
        <f>IFERROR('WEEKLY INPUT'!O122/'WEEKLY INPUT'!F122*90,0)</f>
        <v/>
      </c>
      <c r="Q122" s="5">
        <f>IFERROR(('WEEKLY INPUT'!J122*2+'WEEKLY INPUT'!K122*1+'WEEKLY INPUT'!O122*0.2)/'WEEKLY INPUT'!F122,0)</f>
        <v/>
      </c>
      <c r="R122" s="5">
        <f>MAX(0.25,MIN(1.15,(F122/540)*0.5+G122*0.5))</f>
        <v/>
      </c>
      <c r="S122" s="5">
        <f>MAX(0.70,MIN(1.10,0.85+0.15*G122))</f>
        <v/>
      </c>
      <c r="T122" s="5">
        <f>IF(A122="","",2*('WEEKLY INPUT'!P122/90)+(H122*5+I122*3)*('WEEKLY INPUT'!P122/90)+(P122*0.15)*('WEEKLY INPUT'!P122/90)+Q122*0.25)</f>
        <v/>
      </c>
      <c r="U122" s="5">
        <f>IF($A122="","",$T122*(1+($3-'WEEKLY INPUT'!R122)*0.10)*$R122*$S122*1.0)</f>
        <v/>
      </c>
      <c r="V122" s="5">
        <f>IF($A122="","",$T122*(1+($3-'WEEKLY INPUT'!S122)*0.10)*$R122*$S122*0.975)</f>
        <v/>
      </c>
      <c r="W122" s="5">
        <f>IF($A122="","",$T122*(1+($3-'WEEKLY INPUT'!T122)*0.10)*$R122*$S122*0.95)</f>
        <v/>
      </c>
      <c r="X122" s="5">
        <f>IF($A122="","",$T122*(1+($3-'WEEKLY INPUT'!U122)*0.10)*$R122*$S122*0.925)</f>
        <v/>
      </c>
      <c r="Y122" s="5">
        <f>IF($A122="","",$T122*(1+($3-'WEEKLY INPUT'!V122)*0.10)*$R122*$S122*0.9)</f>
        <v/>
      </c>
      <c r="Z122" s="5">
        <f>IF($A122="","",$T122*(1+($3-'WEEKLY INPUT'!W122)*0.10)*$R122*$S122*0.875)</f>
        <v/>
      </c>
      <c r="AA122" s="5">
        <f>IF($A122="","",$T122*(1+($3-'WEEKLY INPUT'!X122)*0.10)*$R122*$S122*0.85)</f>
        <v/>
      </c>
      <c r="AB122" s="5">
        <f>IF($A122="","",$T122*(1+($3-'WEEKLY INPUT'!Y122)*0.10)*$R122*$S122*0.825)</f>
        <v/>
      </c>
      <c r="AC122" s="5">
        <f>SUM(U122:AB122)</f>
        <v/>
      </c>
      <c r="AD122" s="5">
        <f>SUM(U122:Z122)</f>
        <v/>
      </c>
      <c r="AE122" s="5">
        <f>IFERROR(AD122/D122,0)</f>
        <v/>
      </c>
      <c r="AF122" s="5">
        <f>MAX(0,1-R122)</f>
        <v/>
      </c>
      <c r="AG122" s="5">
        <f>IFERROR((H122+I122)*R122*(1+0.10*(3-'WEEKLY INPUT'!R122)),"")</f>
        <v/>
      </c>
      <c r="AH122" s="5">
        <f>IFERROR(AG122/SUMPRODUCT($AG$6:$AG$205),"")</f>
        <v/>
      </c>
      <c r="AI122" s="5">
        <f>IFERROR(AD122*(1-AF122*0.5)*(1+0.15*AE122),0)</f>
        <v/>
      </c>
      <c r="AJ122" s="5">
        <f>IF(A122="","",RANK(AI122,$AI$6:$AI$205,0))</f>
        <v/>
      </c>
      <c r="AK122" s="5">
        <f>IFERROR('WEEKLY INPUT'!Z122,"")</f>
        <v/>
      </c>
    </row>
    <row r="123">
      <c r="A123" s="5">
        <f>IFERROR('WEEKLY INPUT'!A123,"")</f>
        <v/>
      </c>
      <c r="B123" s="5">
        <f>IFERROR('WEEKLY INPUT'!B123,"")</f>
        <v/>
      </c>
      <c r="C123" s="5">
        <f>IFERROR('WEEKLY INPUT'!C123,"")</f>
        <v/>
      </c>
      <c r="D123" s="5">
        <f>IFERROR('WEEKLY INPUT'!D123,0)</f>
        <v/>
      </c>
      <c r="E123" s="5">
        <f>IFERROR('WEEKLY INPUT'!E123,0)</f>
        <v/>
      </c>
      <c r="F123" s="5">
        <f>IFERROR('WEEKLY INPUT'!F123,0)</f>
        <v/>
      </c>
      <c r="G123" s="5">
        <f>IFERROR('WEEKLY INPUT'!Q123,0)</f>
        <v/>
      </c>
      <c r="H123" s="5">
        <f>IFERROR('WEEKLY INPUT'!H123/'WEEKLY INPUT'!F123*90,0)</f>
        <v/>
      </c>
      <c r="I123" s="5">
        <f>IFERROR('WEEKLY INPUT'!I123/'WEEKLY INPUT'!F123*90,0)</f>
        <v/>
      </c>
      <c r="J123" s="5">
        <f>H123+I123</f>
        <v/>
      </c>
      <c r="K123" s="5">
        <f>IFERROR('WEEKLY INPUT'!J123/'WEEKLY INPUT'!F123*90,0)</f>
        <v/>
      </c>
      <c r="L123" s="5">
        <f>IFERROR('WEEKLY INPUT'!K123/'WEEKLY INPUT'!F123*90,0)</f>
        <v/>
      </c>
      <c r="M123" s="5">
        <f>IFERROR('WEEKLY INPUT'!L123/'WEEKLY INPUT'!F123*90,0)</f>
        <v/>
      </c>
      <c r="N123" s="5">
        <f>IFERROR('WEEKLY INPUT'!M123/'WEEKLY INPUT'!F123*90,0)</f>
        <v/>
      </c>
      <c r="O123" s="5">
        <f>IFERROR('WEEKLY INPUT'!N123/'WEEKLY INPUT'!F123*90,0)</f>
        <v/>
      </c>
      <c r="P123" s="5">
        <f>IFERROR('WEEKLY INPUT'!O123/'WEEKLY INPUT'!F123*90,0)</f>
        <v/>
      </c>
      <c r="Q123" s="5">
        <f>IFERROR(('WEEKLY INPUT'!J123*2+'WEEKLY INPUT'!K123*1+'WEEKLY INPUT'!O123*0.2)/'WEEKLY INPUT'!F123,0)</f>
        <v/>
      </c>
      <c r="R123" s="5">
        <f>MAX(0.25,MIN(1.15,(F123/540)*0.5+G123*0.5))</f>
        <v/>
      </c>
      <c r="S123" s="5">
        <f>MAX(0.70,MIN(1.10,0.85+0.15*G123))</f>
        <v/>
      </c>
      <c r="T123" s="5">
        <f>IF(A123="","",2*('WEEKLY INPUT'!P123/90)+(H123*5+I123*3)*('WEEKLY INPUT'!P123/90)+(P123*0.15)*('WEEKLY INPUT'!P123/90)+Q123*0.25)</f>
        <v/>
      </c>
      <c r="U123" s="5">
        <f>IF($A123="","",$T123*(1+($3-'WEEKLY INPUT'!R123)*0.10)*$R123*$S123*1.0)</f>
        <v/>
      </c>
      <c r="V123" s="5">
        <f>IF($A123="","",$T123*(1+($3-'WEEKLY INPUT'!S123)*0.10)*$R123*$S123*0.975)</f>
        <v/>
      </c>
      <c r="W123" s="5">
        <f>IF($A123="","",$T123*(1+($3-'WEEKLY INPUT'!T123)*0.10)*$R123*$S123*0.95)</f>
        <v/>
      </c>
      <c r="X123" s="5">
        <f>IF($A123="","",$T123*(1+($3-'WEEKLY INPUT'!U123)*0.10)*$R123*$S123*0.925)</f>
        <v/>
      </c>
      <c r="Y123" s="5">
        <f>IF($A123="","",$T123*(1+($3-'WEEKLY INPUT'!V123)*0.10)*$R123*$S123*0.9)</f>
        <v/>
      </c>
      <c r="Z123" s="5">
        <f>IF($A123="","",$T123*(1+($3-'WEEKLY INPUT'!W123)*0.10)*$R123*$S123*0.875)</f>
        <v/>
      </c>
      <c r="AA123" s="5">
        <f>IF($A123="","",$T123*(1+($3-'WEEKLY INPUT'!X123)*0.10)*$R123*$S123*0.85)</f>
        <v/>
      </c>
      <c r="AB123" s="5">
        <f>IF($A123="","",$T123*(1+($3-'WEEKLY INPUT'!Y123)*0.10)*$R123*$S123*0.825)</f>
        <v/>
      </c>
      <c r="AC123" s="5">
        <f>SUM(U123:AB123)</f>
        <v/>
      </c>
      <c r="AD123" s="5">
        <f>SUM(U123:Z123)</f>
        <v/>
      </c>
      <c r="AE123" s="5">
        <f>IFERROR(AD123/D123,0)</f>
        <v/>
      </c>
      <c r="AF123" s="5">
        <f>MAX(0,1-R123)</f>
        <v/>
      </c>
      <c r="AG123" s="5">
        <f>IFERROR((H123+I123)*R123*(1+0.10*(3-'WEEKLY INPUT'!R123)),"")</f>
        <v/>
      </c>
      <c r="AH123" s="5">
        <f>IFERROR(AG123/SUMPRODUCT($AG$6:$AG$205),"")</f>
        <v/>
      </c>
      <c r="AI123" s="5">
        <f>IFERROR(AD123*(1-AF123*0.5)*(1+0.15*AE123),0)</f>
        <v/>
      </c>
      <c r="AJ123" s="5">
        <f>IF(A123="","",RANK(AI123,$AI$6:$AI$205,0))</f>
        <v/>
      </c>
      <c r="AK123" s="5">
        <f>IFERROR('WEEKLY INPUT'!Z123,"")</f>
        <v/>
      </c>
    </row>
    <row r="124">
      <c r="A124" s="5">
        <f>IFERROR('WEEKLY INPUT'!A124,"")</f>
        <v/>
      </c>
      <c r="B124" s="5">
        <f>IFERROR('WEEKLY INPUT'!B124,"")</f>
        <v/>
      </c>
      <c r="C124" s="5">
        <f>IFERROR('WEEKLY INPUT'!C124,"")</f>
        <v/>
      </c>
      <c r="D124" s="5">
        <f>IFERROR('WEEKLY INPUT'!D124,0)</f>
        <v/>
      </c>
      <c r="E124" s="5">
        <f>IFERROR('WEEKLY INPUT'!E124,0)</f>
        <v/>
      </c>
      <c r="F124" s="5">
        <f>IFERROR('WEEKLY INPUT'!F124,0)</f>
        <v/>
      </c>
      <c r="G124" s="5">
        <f>IFERROR('WEEKLY INPUT'!Q124,0)</f>
        <v/>
      </c>
      <c r="H124" s="5">
        <f>IFERROR('WEEKLY INPUT'!H124/'WEEKLY INPUT'!F124*90,0)</f>
        <v/>
      </c>
      <c r="I124" s="5">
        <f>IFERROR('WEEKLY INPUT'!I124/'WEEKLY INPUT'!F124*90,0)</f>
        <v/>
      </c>
      <c r="J124" s="5">
        <f>H124+I124</f>
        <v/>
      </c>
      <c r="K124" s="5">
        <f>IFERROR('WEEKLY INPUT'!J124/'WEEKLY INPUT'!F124*90,0)</f>
        <v/>
      </c>
      <c r="L124" s="5">
        <f>IFERROR('WEEKLY INPUT'!K124/'WEEKLY INPUT'!F124*90,0)</f>
        <v/>
      </c>
      <c r="M124" s="5">
        <f>IFERROR('WEEKLY INPUT'!L124/'WEEKLY INPUT'!F124*90,0)</f>
        <v/>
      </c>
      <c r="N124" s="5">
        <f>IFERROR('WEEKLY INPUT'!M124/'WEEKLY INPUT'!F124*90,0)</f>
        <v/>
      </c>
      <c r="O124" s="5">
        <f>IFERROR('WEEKLY INPUT'!N124/'WEEKLY INPUT'!F124*90,0)</f>
        <v/>
      </c>
      <c r="P124" s="5">
        <f>IFERROR('WEEKLY INPUT'!O124/'WEEKLY INPUT'!F124*90,0)</f>
        <v/>
      </c>
      <c r="Q124" s="5">
        <f>IFERROR(('WEEKLY INPUT'!J124*2+'WEEKLY INPUT'!K124*1+'WEEKLY INPUT'!O124*0.2)/'WEEKLY INPUT'!F124,0)</f>
        <v/>
      </c>
      <c r="R124" s="5">
        <f>MAX(0.25,MIN(1.15,(F124/540)*0.5+G124*0.5))</f>
        <v/>
      </c>
      <c r="S124" s="5">
        <f>MAX(0.70,MIN(1.10,0.85+0.15*G124))</f>
        <v/>
      </c>
      <c r="T124" s="5">
        <f>IF(A124="","",2*('WEEKLY INPUT'!P124/90)+(H124*5+I124*3)*('WEEKLY INPUT'!P124/90)+(P124*0.15)*('WEEKLY INPUT'!P124/90)+Q124*0.25)</f>
        <v/>
      </c>
      <c r="U124" s="5">
        <f>IF($A124="","",$T124*(1+($3-'WEEKLY INPUT'!R124)*0.10)*$R124*$S124*1.0)</f>
        <v/>
      </c>
      <c r="V124" s="5">
        <f>IF($A124="","",$T124*(1+($3-'WEEKLY INPUT'!S124)*0.10)*$R124*$S124*0.975)</f>
        <v/>
      </c>
      <c r="W124" s="5">
        <f>IF($A124="","",$T124*(1+($3-'WEEKLY INPUT'!T124)*0.10)*$R124*$S124*0.95)</f>
        <v/>
      </c>
      <c r="X124" s="5">
        <f>IF($A124="","",$T124*(1+($3-'WEEKLY INPUT'!U124)*0.10)*$R124*$S124*0.925)</f>
        <v/>
      </c>
      <c r="Y124" s="5">
        <f>IF($A124="","",$T124*(1+($3-'WEEKLY INPUT'!V124)*0.10)*$R124*$S124*0.9)</f>
        <v/>
      </c>
      <c r="Z124" s="5">
        <f>IF($A124="","",$T124*(1+($3-'WEEKLY INPUT'!W124)*0.10)*$R124*$S124*0.875)</f>
        <v/>
      </c>
      <c r="AA124" s="5">
        <f>IF($A124="","",$T124*(1+($3-'WEEKLY INPUT'!X124)*0.10)*$R124*$S124*0.85)</f>
        <v/>
      </c>
      <c r="AB124" s="5">
        <f>IF($A124="","",$T124*(1+($3-'WEEKLY INPUT'!Y124)*0.10)*$R124*$S124*0.825)</f>
        <v/>
      </c>
      <c r="AC124" s="5">
        <f>SUM(U124:AB124)</f>
        <v/>
      </c>
      <c r="AD124" s="5">
        <f>SUM(U124:Z124)</f>
        <v/>
      </c>
      <c r="AE124" s="5">
        <f>IFERROR(AD124/D124,0)</f>
        <v/>
      </c>
      <c r="AF124" s="5">
        <f>MAX(0,1-R124)</f>
        <v/>
      </c>
      <c r="AG124" s="5">
        <f>IFERROR((H124+I124)*R124*(1+0.10*(3-'WEEKLY INPUT'!R124)),"")</f>
        <v/>
      </c>
      <c r="AH124" s="5">
        <f>IFERROR(AG124/SUMPRODUCT($AG$6:$AG$205),"")</f>
        <v/>
      </c>
      <c r="AI124" s="5">
        <f>IFERROR(AD124*(1-AF124*0.5)*(1+0.15*AE124),0)</f>
        <v/>
      </c>
      <c r="AJ124" s="5">
        <f>IF(A124="","",RANK(AI124,$AI$6:$AI$205,0))</f>
        <v/>
      </c>
      <c r="AK124" s="5">
        <f>IFERROR('WEEKLY INPUT'!Z124,"")</f>
        <v/>
      </c>
    </row>
    <row r="125">
      <c r="A125" s="5">
        <f>IFERROR('WEEKLY INPUT'!A125,"")</f>
        <v/>
      </c>
      <c r="B125" s="5">
        <f>IFERROR('WEEKLY INPUT'!B125,"")</f>
        <v/>
      </c>
      <c r="C125" s="5">
        <f>IFERROR('WEEKLY INPUT'!C125,"")</f>
        <v/>
      </c>
      <c r="D125" s="5">
        <f>IFERROR('WEEKLY INPUT'!D125,0)</f>
        <v/>
      </c>
      <c r="E125" s="5">
        <f>IFERROR('WEEKLY INPUT'!E125,0)</f>
        <v/>
      </c>
      <c r="F125" s="5">
        <f>IFERROR('WEEKLY INPUT'!F125,0)</f>
        <v/>
      </c>
      <c r="G125" s="5">
        <f>IFERROR('WEEKLY INPUT'!Q125,0)</f>
        <v/>
      </c>
      <c r="H125" s="5">
        <f>IFERROR('WEEKLY INPUT'!H125/'WEEKLY INPUT'!F125*90,0)</f>
        <v/>
      </c>
      <c r="I125" s="5">
        <f>IFERROR('WEEKLY INPUT'!I125/'WEEKLY INPUT'!F125*90,0)</f>
        <v/>
      </c>
      <c r="J125" s="5">
        <f>H125+I125</f>
        <v/>
      </c>
      <c r="K125" s="5">
        <f>IFERROR('WEEKLY INPUT'!J125/'WEEKLY INPUT'!F125*90,0)</f>
        <v/>
      </c>
      <c r="L125" s="5">
        <f>IFERROR('WEEKLY INPUT'!K125/'WEEKLY INPUT'!F125*90,0)</f>
        <v/>
      </c>
      <c r="M125" s="5">
        <f>IFERROR('WEEKLY INPUT'!L125/'WEEKLY INPUT'!F125*90,0)</f>
        <v/>
      </c>
      <c r="N125" s="5">
        <f>IFERROR('WEEKLY INPUT'!M125/'WEEKLY INPUT'!F125*90,0)</f>
        <v/>
      </c>
      <c r="O125" s="5">
        <f>IFERROR('WEEKLY INPUT'!N125/'WEEKLY INPUT'!F125*90,0)</f>
        <v/>
      </c>
      <c r="P125" s="5">
        <f>IFERROR('WEEKLY INPUT'!O125/'WEEKLY INPUT'!F125*90,0)</f>
        <v/>
      </c>
      <c r="Q125" s="5">
        <f>IFERROR(('WEEKLY INPUT'!J125*2+'WEEKLY INPUT'!K125*1+'WEEKLY INPUT'!O125*0.2)/'WEEKLY INPUT'!F125,0)</f>
        <v/>
      </c>
      <c r="R125" s="5">
        <f>MAX(0.25,MIN(1.15,(F125/540)*0.5+G125*0.5))</f>
        <v/>
      </c>
      <c r="S125" s="5">
        <f>MAX(0.70,MIN(1.10,0.85+0.15*G125))</f>
        <v/>
      </c>
      <c r="T125" s="5">
        <f>IF(A125="","",2*('WEEKLY INPUT'!P125/90)+(H125*5+I125*3)*('WEEKLY INPUT'!P125/90)+(P125*0.15)*('WEEKLY INPUT'!P125/90)+Q125*0.25)</f>
        <v/>
      </c>
      <c r="U125" s="5">
        <f>IF($A125="","",$T125*(1+($3-'WEEKLY INPUT'!R125)*0.10)*$R125*$S125*1.0)</f>
        <v/>
      </c>
      <c r="V125" s="5">
        <f>IF($A125="","",$T125*(1+($3-'WEEKLY INPUT'!S125)*0.10)*$R125*$S125*0.975)</f>
        <v/>
      </c>
      <c r="W125" s="5">
        <f>IF($A125="","",$T125*(1+($3-'WEEKLY INPUT'!T125)*0.10)*$R125*$S125*0.95)</f>
        <v/>
      </c>
      <c r="X125" s="5">
        <f>IF($A125="","",$T125*(1+($3-'WEEKLY INPUT'!U125)*0.10)*$R125*$S125*0.925)</f>
        <v/>
      </c>
      <c r="Y125" s="5">
        <f>IF($A125="","",$T125*(1+($3-'WEEKLY INPUT'!V125)*0.10)*$R125*$S125*0.9)</f>
        <v/>
      </c>
      <c r="Z125" s="5">
        <f>IF($A125="","",$T125*(1+($3-'WEEKLY INPUT'!W125)*0.10)*$R125*$S125*0.875)</f>
        <v/>
      </c>
      <c r="AA125" s="5">
        <f>IF($A125="","",$T125*(1+($3-'WEEKLY INPUT'!X125)*0.10)*$R125*$S125*0.85)</f>
        <v/>
      </c>
      <c r="AB125" s="5">
        <f>IF($A125="","",$T125*(1+($3-'WEEKLY INPUT'!Y125)*0.10)*$R125*$S125*0.825)</f>
        <v/>
      </c>
      <c r="AC125" s="5">
        <f>SUM(U125:AB125)</f>
        <v/>
      </c>
      <c r="AD125" s="5">
        <f>SUM(U125:Z125)</f>
        <v/>
      </c>
      <c r="AE125" s="5">
        <f>IFERROR(AD125/D125,0)</f>
        <v/>
      </c>
      <c r="AF125" s="5">
        <f>MAX(0,1-R125)</f>
        <v/>
      </c>
      <c r="AG125" s="5">
        <f>IFERROR((H125+I125)*R125*(1+0.10*(3-'WEEKLY INPUT'!R125)),"")</f>
        <v/>
      </c>
      <c r="AH125" s="5">
        <f>IFERROR(AG125/SUMPRODUCT($AG$6:$AG$205),"")</f>
        <v/>
      </c>
      <c r="AI125" s="5">
        <f>IFERROR(AD125*(1-AF125*0.5)*(1+0.15*AE125),0)</f>
        <v/>
      </c>
      <c r="AJ125" s="5">
        <f>IF(A125="","",RANK(AI125,$AI$6:$AI$205,0))</f>
        <v/>
      </c>
      <c r="AK125" s="5">
        <f>IFERROR('WEEKLY INPUT'!Z125,"")</f>
        <v/>
      </c>
    </row>
    <row r="126">
      <c r="A126" s="5">
        <f>IFERROR('WEEKLY INPUT'!A126,"")</f>
        <v/>
      </c>
      <c r="B126" s="5">
        <f>IFERROR('WEEKLY INPUT'!B126,"")</f>
        <v/>
      </c>
      <c r="C126" s="5">
        <f>IFERROR('WEEKLY INPUT'!C126,"")</f>
        <v/>
      </c>
      <c r="D126" s="5">
        <f>IFERROR('WEEKLY INPUT'!D126,0)</f>
        <v/>
      </c>
      <c r="E126" s="5">
        <f>IFERROR('WEEKLY INPUT'!E126,0)</f>
        <v/>
      </c>
      <c r="F126" s="5">
        <f>IFERROR('WEEKLY INPUT'!F126,0)</f>
        <v/>
      </c>
      <c r="G126" s="5">
        <f>IFERROR('WEEKLY INPUT'!Q126,0)</f>
        <v/>
      </c>
      <c r="H126" s="5">
        <f>IFERROR('WEEKLY INPUT'!H126/'WEEKLY INPUT'!F126*90,0)</f>
        <v/>
      </c>
      <c r="I126" s="5">
        <f>IFERROR('WEEKLY INPUT'!I126/'WEEKLY INPUT'!F126*90,0)</f>
        <v/>
      </c>
      <c r="J126" s="5">
        <f>H126+I126</f>
        <v/>
      </c>
      <c r="K126" s="5">
        <f>IFERROR('WEEKLY INPUT'!J126/'WEEKLY INPUT'!F126*90,0)</f>
        <v/>
      </c>
      <c r="L126" s="5">
        <f>IFERROR('WEEKLY INPUT'!K126/'WEEKLY INPUT'!F126*90,0)</f>
        <v/>
      </c>
      <c r="M126" s="5">
        <f>IFERROR('WEEKLY INPUT'!L126/'WEEKLY INPUT'!F126*90,0)</f>
        <v/>
      </c>
      <c r="N126" s="5">
        <f>IFERROR('WEEKLY INPUT'!M126/'WEEKLY INPUT'!F126*90,0)</f>
        <v/>
      </c>
      <c r="O126" s="5">
        <f>IFERROR('WEEKLY INPUT'!N126/'WEEKLY INPUT'!F126*90,0)</f>
        <v/>
      </c>
      <c r="P126" s="5">
        <f>IFERROR('WEEKLY INPUT'!O126/'WEEKLY INPUT'!F126*90,0)</f>
        <v/>
      </c>
      <c r="Q126" s="5">
        <f>IFERROR(('WEEKLY INPUT'!J126*2+'WEEKLY INPUT'!K126*1+'WEEKLY INPUT'!O126*0.2)/'WEEKLY INPUT'!F126,0)</f>
        <v/>
      </c>
      <c r="R126" s="5">
        <f>MAX(0.25,MIN(1.15,(F126/540)*0.5+G126*0.5))</f>
        <v/>
      </c>
      <c r="S126" s="5">
        <f>MAX(0.70,MIN(1.10,0.85+0.15*G126))</f>
        <v/>
      </c>
      <c r="T126" s="5">
        <f>IF(A126="","",2*('WEEKLY INPUT'!P126/90)+(H126*5+I126*3)*('WEEKLY INPUT'!P126/90)+(P126*0.15)*('WEEKLY INPUT'!P126/90)+Q126*0.25)</f>
        <v/>
      </c>
      <c r="U126" s="5">
        <f>IF($A126="","",$T126*(1+($3-'WEEKLY INPUT'!R126)*0.10)*$R126*$S126*1.0)</f>
        <v/>
      </c>
      <c r="V126" s="5">
        <f>IF($A126="","",$T126*(1+($3-'WEEKLY INPUT'!S126)*0.10)*$R126*$S126*0.975)</f>
        <v/>
      </c>
      <c r="W126" s="5">
        <f>IF($A126="","",$T126*(1+($3-'WEEKLY INPUT'!T126)*0.10)*$R126*$S126*0.95)</f>
        <v/>
      </c>
      <c r="X126" s="5">
        <f>IF($A126="","",$T126*(1+($3-'WEEKLY INPUT'!U126)*0.10)*$R126*$S126*0.925)</f>
        <v/>
      </c>
      <c r="Y126" s="5">
        <f>IF($A126="","",$T126*(1+($3-'WEEKLY INPUT'!V126)*0.10)*$R126*$S126*0.9)</f>
        <v/>
      </c>
      <c r="Z126" s="5">
        <f>IF($A126="","",$T126*(1+($3-'WEEKLY INPUT'!W126)*0.10)*$R126*$S126*0.875)</f>
        <v/>
      </c>
      <c r="AA126" s="5">
        <f>IF($A126="","",$T126*(1+($3-'WEEKLY INPUT'!X126)*0.10)*$R126*$S126*0.85)</f>
        <v/>
      </c>
      <c r="AB126" s="5">
        <f>IF($A126="","",$T126*(1+($3-'WEEKLY INPUT'!Y126)*0.10)*$R126*$S126*0.825)</f>
        <v/>
      </c>
      <c r="AC126" s="5">
        <f>SUM(U126:AB126)</f>
        <v/>
      </c>
      <c r="AD126" s="5">
        <f>SUM(U126:Z126)</f>
        <v/>
      </c>
      <c r="AE126" s="5">
        <f>IFERROR(AD126/D126,0)</f>
        <v/>
      </c>
      <c r="AF126" s="5">
        <f>MAX(0,1-R126)</f>
        <v/>
      </c>
      <c r="AG126" s="5">
        <f>IFERROR((H126+I126)*R126*(1+0.10*(3-'WEEKLY INPUT'!R126)),"")</f>
        <v/>
      </c>
      <c r="AH126" s="5">
        <f>IFERROR(AG126/SUMPRODUCT($AG$6:$AG$205),"")</f>
        <v/>
      </c>
      <c r="AI126" s="5">
        <f>IFERROR(AD126*(1-AF126*0.5)*(1+0.15*AE126),0)</f>
        <v/>
      </c>
      <c r="AJ126" s="5">
        <f>IF(A126="","",RANK(AI126,$AI$6:$AI$205,0))</f>
        <v/>
      </c>
      <c r="AK126" s="5">
        <f>IFERROR('WEEKLY INPUT'!Z126,"")</f>
        <v/>
      </c>
    </row>
    <row r="127">
      <c r="A127" s="5">
        <f>IFERROR('WEEKLY INPUT'!A127,"")</f>
        <v/>
      </c>
      <c r="B127" s="5">
        <f>IFERROR('WEEKLY INPUT'!B127,"")</f>
        <v/>
      </c>
      <c r="C127" s="5">
        <f>IFERROR('WEEKLY INPUT'!C127,"")</f>
        <v/>
      </c>
      <c r="D127" s="5">
        <f>IFERROR('WEEKLY INPUT'!D127,0)</f>
        <v/>
      </c>
      <c r="E127" s="5">
        <f>IFERROR('WEEKLY INPUT'!E127,0)</f>
        <v/>
      </c>
      <c r="F127" s="5">
        <f>IFERROR('WEEKLY INPUT'!F127,0)</f>
        <v/>
      </c>
      <c r="G127" s="5">
        <f>IFERROR('WEEKLY INPUT'!Q127,0)</f>
        <v/>
      </c>
      <c r="H127" s="5">
        <f>IFERROR('WEEKLY INPUT'!H127/'WEEKLY INPUT'!F127*90,0)</f>
        <v/>
      </c>
      <c r="I127" s="5">
        <f>IFERROR('WEEKLY INPUT'!I127/'WEEKLY INPUT'!F127*90,0)</f>
        <v/>
      </c>
      <c r="J127" s="5">
        <f>H127+I127</f>
        <v/>
      </c>
      <c r="K127" s="5">
        <f>IFERROR('WEEKLY INPUT'!J127/'WEEKLY INPUT'!F127*90,0)</f>
        <v/>
      </c>
      <c r="L127" s="5">
        <f>IFERROR('WEEKLY INPUT'!K127/'WEEKLY INPUT'!F127*90,0)</f>
        <v/>
      </c>
      <c r="M127" s="5">
        <f>IFERROR('WEEKLY INPUT'!L127/'WEEKLY INPUT'!F127*90,0)</f>
        <v/>
      </c>
      <c r="N127" s="5">
        <f>IFERROR('WEEKLY INPUT'!M127/'WEEKLY INPUT'!F127*90,0)</f>
        <v/>
      </c>
      <c r="O127" s="5">
        <f>IFERROR('WEEKLY INPUT'!N127/'WEEKLY INPUT'!F127*90,0)</f>
        <v/>
      </c>
      <c r="P127" s="5">
        <f>IFERROR('WEEKLY INPUT'!O127/'WEEKLY INPUT'!F127*90,0)</f>
        <v/>
      </c>
      <c r="Q127" s="5">
        <f>IFERROR(('WEEKLY INPUT'!J127*2+'WEEKLY INPUT'!K127*1+'WEEKLY INPUT'!O127*0.2)/'WEEKLY INPUT'!F127,0)</f>
        <v/>
      </c>
      <c r="R127" s="5">
        <f>MAX(0.25,MIN(1.15,(F127/540)*0.5+G127*0.5))</f>
        <v/>
      </c>
      <c r="S127" s="5">
        <f>MAX(0.70,MIN(1.10,0.85+0.15*G127))</f>
        <v/>
      </c>
      <c r="T127" s="5">
        <f>IF(A127="","",2*('WEEKLY INPUT'!P127/90)+(H127*5+I127*3)*('WEEKLY INPUT'!P127/90)+(P127*0.15)*('WEEKLY INPUT'!P127/90)+Q127*0.25)</f>
        <v/>
      </c>
      <c r="U127" s="5">
        <f>IF($A127="","",$T127*(1+($3-'WEEKLY INPUT'!R127)*0.10)*$R127*$S127*1.0)</f>
        <v/>
      </c>
      <c r="V127" s="5">
        <f>IF($A127="","",$T127*(1+($3-'WEEKLY INPUT'!S127)*0.10)*$R127*$S127*0.975)</f>
        <v/>
      </c>
      <c r="W127" s="5">
        <f>IF($A127="","",$T127*(1+($3-'WEEKLY INPUT'!T127)*0.10)*$R127*$S127*0.95)</f>
        <v/>
      </c>
      <c r="X127" s="5">
        <f>IF($A127="","",$T127*(1+($3-'WEEKLY INPUT'!U127)*0.10)*$R127*$S127*0.925)</f>
        <v/>
      </c>
      <c r="Y127" s="5">
        <f>IF($A127="","",$T127*(1+($3-'WEEKLY INPUT'!V127)*0.10)*$R127*$S127*0.9)</f>
        <v/>
      </c>
      <c r="Z127" s="5">
        <f>IF($A127="","",$T127*(1+($3-'WEEKLY INPUT'!W127)*0.10)*$R127*$S127*0.875)</f>
        <v/>
      </c>
      <c r="AA127" s="5">
        <f>IF($A127="","",$T127*(1+($3-'WEEKLY INPUT'!X127)*0.10)*$R127*$S127*0.85)</f>
        <v/>
      </c>
      <c r="AB127" s="5">
        <f>IF($A127="","",$T127*(1+($3-'WEEKLY INPUT'!Y127)*0.10)*$R127*$S127*0.825)</f>
        <v/>
      </c>
      <c r="AC127" s="5">
        <f>SUM(U127:AB127)</f>
        <v/>
      </c>
      <c r="AD127" s="5">
        <f>SUM(U127:Z127)</f>
        <v/>
      </c>
      <c r="AE127" s="5">
        <f>IFERROR(AD127/D127,0)</f>
        <v/>
      </c>
      <c r="AF127" s="5">
        <f>MAX(0,1-R127)</f>
        <v/>
      </c>
      <c r="AG127" s="5">
        <f>IFERROR((H127+I127)*R127*(1+0.10*(3-'WEEKLY INPUT'!R127)),"")</f>
        <v/>
      </c>
      <c r="AH127" s="5">
        <f>IFERROR(AG127/SUMPRODUCT($AG$6:$AG$205),"")</f>
        <v/>
      </c>
      <c r="AI127" s="5">
        <f>IFERROR(AD127*(1-AF127*0.5)*(1+0.15*AE127),0)</f>
        <v/>
      </c>
      <c r="AJ127" s="5">
        <f>IF(A127="","",RANK(AI127,$AI$6:$AI$205,0))</f>
        <v/>
      </c>
      <c r="AK127" s="5">
        <f>IFERROR('WEEKLY INPUT'!Z127,"")</f>
        <v/>
      </c>
    </row>
    <row r="128">
      <c r="A128" s="5">
        <f>IFERROR('WEEKLY INPUT'!A128,"")</f>
        <v/>
      </c>
      <c r="B128" s="5">
        <f>IFERROR('WEEKLY INPUT'!B128,"")</f>
        <v/>
      </c>
      <c r="C128" s="5">
        <f>IFERROR('WEEKLY INPUT'!C128,"")</f>
        <v/>
      </c>
      <c r="D128" s="5">
        <f>IFERROR('WEEKLY INPUT'!D128,0)</f>
        <v/>
      </c>
      <c r="E128" s="5">
        <f>IFERROR('WEEKLY INPUT'!E128,0)</f>
        <v/>
      </c>
      <c r="F128" s="5">
        <f>IFERROR('WEEKLY INPUT'!F128,0)</f>
        <v/>
      </c>
      <c r="G128" s="5">
        <f>IFERROR('WEEKLY INPUT'!Q128,0)</f>
        <v/>
      </c>
      <c r="H128" s="5">
        <f>IFERROR('WEEKLY INPUT'!H128/'WEEKLY INPUT'!F128*90,0)</f>
        <v/>
      </c>
      <c r="I128" s="5">
        <f>IFERROR('WEEKLY INPUT'!I128/'WEEKLY INPUT'!F128*90,0)</f>
        <v/>
      </c>
      <c r="J128" s="5">
        <f>H128+I128</f>
        <v/>
      </c>
      <c r="K128" s="5">
        <f>IFERROR('WEEKLY INPUT'!J128/'WEEKLY INPUT'!F128*90,0)</f>
        <v/>
      </c>
      <c r="L128" s="5">
        <f>IFERROR('WEEKLY INPUT'!K128/'WEEKLY INPUT'!F128*90,0)</f>
        <v/>
      </c>
      <c r="M128" s="5">
        <f>IFERROR('WEEKLY INPUT'!L128/'WEEKLY INPUT'!F128*90,0)</f>
        <v/>
      </c>
      <c r="N128" s="5">
        <f>IFERROR('WEEKLY INPUT'!M128/'WEEKLY INPUT'!F128*90,0)</f>
        <v/>
      </c>
      <c r="O128" s="5">
        <f>IFERROR('WEEKLY INPUT'!N128/'WEEKLY INPUT'!F128*90,0)</f>
        <v/>
      </c>
      <c r="P128" s="5">
        <f>IFERROR('WEEKLY INPUT'!O128/'WEEKLY INPUT'!F128*90,0)</f>
        <v/>
      </c>
      <c r="Q128" s="5">
        <f>IFERROR(('WEEKLY INPUT'!J128*2+'WEEKLY INPUT'!K128*1+'WEEKLY INPUT'!O128*0.2)/'WEEKLY INPUT'!F128,0)</f>
        <v/>
      </c>
      <c r="R128" s="5">
        <f>MAX(0.25,MIN(1.15,(F128/540)*0.5+G128*0.5))</f>
        <v/>
      </c>
      <c r="S128" s="5">
        <f>MAX(0.70,MIN(1.10,0.85+0.15*G128))</f>
        <v/>
      </c>
      <c r="T128" s="5">
        <f>IF(A128="","",2*('WEEKLY INPUT'!P128/90)+(H128*5+I128*3)*('WEEKLY INPUT'!P128/90)+(P128*0.15)*('WEEKLY INPUT'!P128/90)+Q128*0.25)</f>
        <v/>
      </c>
      <c r="U128" s="5">
        <f>IF($A128="","",$T128*(1+($3-'WEEKLY INPUT'!R128)*0.10)*$R128*$S128*1.0)</f>
        <v/>
      </c>
      <c r="V128" s="5">
        <f>IF($A128="","",$T128*(1+($3-'WEEKLY INPUT'!S128)*0.10)*$R128*$S128*0.975)</f>
        <v/>
      </c>
      <c r="W128" s="5">
        <f>IF($A128="","",$T128*(1+($3-'WEEKLY INPUT'!T128)*0.10)*$R128*$S128*0.95)</f>
        <v/>
      </c>
      <c r="X128" s="5">
        <f>IF($A128="","",$T128*(1+($3-'WEEKLY INPUT'!U128)*0.10)*$R128*$S128*0.925)</f>
        <v/>
      </c>
      <c r="Y128" s="5">
        <f>IF($A128="","",$T128*(1+($3-'WEEKLY INPUT'!V128)*0.10)*$R128*$S128*0.9)</f>
        <v/>
      </c>
      <c r="Z128" s="5">
        <f>IF($A128="","",$T128*(1+($3-'WEEKLY INPUT'!W128)*0.10)*$R128*$S128*0.875)</f>
        <v/>
      </c>
      <c r="AA128" s="5">
        <f>IF($A128="","",$T128*(1+($3-'WEEKLY INPUT'!X128)*0.10)*$R128*$S128*0.85)</f>
        <v/>
      </c>
      <c r="AB128" s="5">
        <f>IF($A128="","",$T128*(1+($3-'WEEKLY INPUT'!Y128)*0.10)*$R128*$S128*0.825)</f>
        <v/>
      </c>
      <c r="AC128" s="5">
        <f>SUM(U128:AB128)</f>
        <v/>
      </c>
      <c r="AD128" s="5">
        <f>SUM(U128:Z128)</f>
        <v/>
      </c>
      <c r="AE128" s="5">
        <f>IFERROR(AD128/D128,0)</f>
        <v/>
      </c>
      <c r="AF128" s="5">
        <f>MAX(0,1-R128)</f>
        <v/>
      </c>
      <c r="AG128" s="5">
        <f>IFERROR((H128+I128)*R128*(1+0.10*(3-'WEEKLY INPUT'!R128)),"")</f>
        <v/>
      </c>
      <c r="AH128" s="5">
        <f>IFERROR(AG128/SUMPRODUCT($AG$6:$AG$205),"")</f>
        <v/>
      </c>
      <c r="AI128" s="5">
        <f>IFERROR(AD128*(1-AF128*0.5)*(1+0.15*AE128),0)</f>
        <v/>
      </c>
      <c r="AJ128" s="5">
        <f>IF(A128="","",RANK(AI128,$AI$6:$AI$205,0))</f>
        <v/>
      </c>
      <c r="AK128" s="5">
        <f>IFERROR('WEEKLY INPUT'!Z128,"")</f>
        <v/>
      </c>
    </row>
    <row r="129">
      <c r="A129" s="5">
        <f>IFERROR('WEEKLY INPUT'!A129,"")</f>
        <v/>
      </c>
      <c r="B129" s="5">
        <f>IFERROR('WEEKLY INPUT'!B129,"")</f>
        <v/>
      </c>
      <c r="C129" s="5">
        <f>IFERROR('WEEKLY INPUT'!C129,"")</f>
        <v/>
      </c>
      <c r="D129" s="5">
        <f>IFERROR('WEEKLY INPUT'!D129,0)</f>
        <v/>
      </c>
      <c r="E129" s="5">
        <f>IFERROR('WEEKLY INPUT'!E129,0)</f>
        <v/>
      </c>
      <c r="F129" s="5">
        <f>IFERROR('WEEKLY INPUT'!F129,0)</f>
        <v/>
      </c>
      <c r="G129" s="5">
        <f>IFERROR('WEEKLY INPUT'!Q129,0)</f>
        <v/>
      </c>
      <c r="H129" s="5">
        <f>IFERROR('WEEKLY INPUT'!H129/'WEEKLY INPUT'!F129*90,0)</f>
        <v/>
      </c>
      <c r="I129" s="5">
        <f>IFERROR('WEEKLY INPUT'!I129/'WEEKLY INPUT'!F129*90,0)</f>
        <v/>
      </c>
      <c r="J129" s="5">
        <f>H129+I129</f>
        <v/>
      </c>
      <c r="K129" s="5">
        <f>IFERROR('WEEKLY INPUT'!J129/'WEEKLY INPUT'!F129*90,0)</f>
        <v/>
      </c>
      <c r="L129" s="5">
        <f>IFERROR('WEEKLY INPUT'!K129/'WEEKLY INPUT'!F129*90,0)</f>
        <v/>
      </c>
      <c r="M129" s="5">
        <f>IFERROR('WEEKLY INPUT'!L129/'WEEKLY INPUT'!F129*90,0)</f>
        <v/>
      </c>
      <c r="N129" s="5">
        <f>IFERROR('WEEKLY INPUT'!M129/'WEEKLY INPUT'!F129*90,0)</f>
        <v/>
      </c>
      <c r="O129" s="5">
        <f>IFERROR('WEEKLY INPUT'!N129/'WEEKLY INPUT'!F129*90,0)</f>
        <v/>
      </c>
      <c r="P129" s="5">
        <f>IFERROR('WEEKLY INPUT'!O129/'WEEKLY INPUT'!F129*90,0)</f>
        <v/>
      </c>
      <c r="Q129" s="5">
        <f>IFERROR(('WEEKLY INPUT'!J129*2+'WEEKLY INPUT'!K129*1+'WEEKLY INPUT'!O129*0.2)/'WEEKLY INPUT'!F129,0)</f>
        <v/>
      </c>
      <c r="R129" s="5">
        <f>MAX(0.25,MIN(1.15,(F129/540)*0.5+G129*0.5))</f>
        <v/>
      </c>
      <c r="S129" s="5">
        <f>MAX(0.70,MIN(1.10,0.85+0.15*G129))</f>
        <v/>
      </c>
      <c r="T129" s="5">
        <f>IF(A129="","",2*('WEEKLY INPUT'!P129/90)+(H129*5+I129*3)*('WEEKLY INPUT'!P129/90)+(P129*0.15)*('WEEKLY INPUT'!P129/90)+Q129*0.25)</f>
        <v/>
      </c>
      <c r="U129" s="5">
        <f>IF($A129="","",$T129*(1+($3-'WEEKLY INPUT'!R129)*0.10)*$R129*$S129*1.0)</f>
        <v/>
      </c>
      <c r="V129" s="5">
        <f>IF($A129="","",$T129*(1+($3-'WEEKLY INPUT'!S129)*0.10)*$R129*$S129*0.975)</f>
        <v/>
      </c>
      <c r="W129" s="5">
        <f>IF($A129="","",$T129*(1+($3-'WEEKLY INPUT'!T129)*0.10)*$R129*$S129*0.95)</f>
        <v/>
      </c>
      <c r="X129" s="5">
        <f>IF($A129="","",$T129*(1+($3-'WEEKLY INPUT'!U129)*0.10)*$R129*$S129*0.925)</f>
        <v/>
      </c>
      <c r="Y129" s="5">
        <f>IF($A129="","",$T129*(1+($3-'WEEKLY INPUT'!V129)*0.10)*$R129*$S129*0.9)</f>
        <v/>
      </c>
      <c r="Z129" s="5">
        <f>IF($A129="","",$T129*(1+($3-'WEEKLY INPUT'!W129)*0.10)*$R129*$S129*0.875)</f>
        <v/>
      </c>
      <c r="AA129" s="5">
        <f>IF($A129="","",$T129*(1+($3-'WEEKLY INPUT'!X129)*0.10)*$R129*$S129*0.85)</f>
        <v/>
      </c>
      <c r="AB129" s="5">
        <f>IF($A129="","",$T129*(1+($3-'WEEKLY INPUT'!Y129)*0.10)*$R129*$S129*0.825)</f>
        <v/>
      </c>
      <c r="AC129" s="5">
        <f>SUM(U129:AB129)</f>
        <v/>
      </c>
      <c r="AD129" s="5">
        <f>SUM(U129:Z129)</f>
        <v/>
      </c>
      <c r="AE129" s="5">
        <f>IFERROR(AD129/D129,0)</f>
        <v/>
      </c>
      <c r="AF129" s="5">
        <f>MAX(0,1-R129)</f>
        <v/>
      </c>
      <c r="AG129" s="5">
        <f>IFERROR((H129+I129)*R129*(1+0.10*(3-'WEEKLY INPUT'!R129)),"")</f>
        <v/>
      </c>
      <c r="AH129" s="5">
        <f>IFERROR(AG129/SUMPRODUCT($AG$6:$AG$205),"")</f>
        <v/>
      </c>
      <c r="AI129" s="5">
        <f>IFERROR(AD129*(1-AF129*0.5)*(1+0.15*AE129),0)</f>
        <v/>
      </c>
      <c r="AJ129" s="5">
        <f>IF(A129="","",RANK(AI129,$AI$6:$AI$205,0))</f>
        <v/>
      </c>
      <c r="AK129" s="5">
        <f>IFERROR('WEEKLY INPUT'!Z129,"")</f>
        <v/>
      </c>
    </row>
    <row r="130">
      <c r="A130" s="5">
        <f>IFERROR('WEEKLY INPUT'!A130,"")</f>
        <v/>
      </c>
      <c r="B130" s="5">
        <f>IFERROR('WEEKLY INPUT'!B130,"")</f>
        <v/>
      </c>
      <c r="C130" s="5">
        <f>IFERROR('WEEKLY INPUT'!C130,"")</f>
        <v/>
      </c>
      <c r="D130" s="5">
        <f>IFERROR('WEEKLY INPUT'!D130,0)</f>
        <v/>
      </c>
      <c r="E130" s="5">
        <f>IFERROR('WEEKLY INPUT'!E130,0)</f>
        <v/>
      </c>
      <c r="F130" s="5">
        <f>IFERROR('WEEKLY INPUT'!F130,0)</f>
        <v/>
      </c>
      <c r="G130" s="5">
        <f>IFERROR('WEEKLY INPUT'!Q130,0)</f>
        <v/>
      </c>
      <c r="H130" s="5">
        <f>IFERROR('WEEKLY INPUT'!H130/'WEEKLY INPUT'!F130*90,0)</f>
        <v/>
      </c>
      <c r="I130" s="5">
        <f>IFERROR('WEEKLY INPUT'!I130/'WEEKLY INPUT'!F130*90,0)</f>
        <v/>
      </c>
      <c r="J130" s="5">
        <f>H130+I130</f>
        <v/>
      </c>
      <c r="K130" s="5">
        <f>IFERROR('WEEKLY INPUT'!J130/'WEEKLY INPUT'!F130*90,0)</f>
        <v/>
      </c>
      <c r="L130" s="5">
        <f>IFERROR('WEEKLY INPUT'!K130/'WEEKLY INPUT'!F130*90,0)</f>
        <v/>
      </c>
      <c r="M130" s="5">
        <f>IFERROR('WEEKLY INPUT'!L130/'WEEKLY INPUT'!F130*90,0)</f>
        <v/>
      </c>
      <c r="N130" s="5">
        <f>IFERROR('WEEKLY INPUT'!M130/'WEEKLY INPUT'!F130*90,0)</f>
        <v/>
      </c>
      <c r="O130" s="5">
        <f>IFERROR('WEEKLY INPUT'!N130/'WEEKLY INPUT'!F130*90,0)</f>
        <v/>
      </c>
      <c r="P130" s="5">
        <f>IFERROR('WEEKLY INPUT'!O130/'WEEKLY INPUT'!F130*90,0)</f>
        <v/>
      </c>
      <c r="Q130" s="5">
        <f>IFERROR(('WEEKLY INPUT'!J130*2+'WEEKLY INPUT'!K130*1+'WEEKLY INPUT'!O130*0.2)/'WEEKLY INPUT'!F130,0)</f>
        <v/>
      </c>
      <c r="R130" s="5">
        <f>MAX(0.25,MIN(1.15,(F130/540)*0.5+G130*0.5))</f>
        <v/>
      </c>
      <c r="S130" s="5">
        <f>MAX(0.70,MIN(1.10,0.85+0.15*G130))</f>
        <v/>
      </c>
      <c r="T130" s="5">
        <f>IF(A130="","",2*('WEEKLY INPUT'!P130/90)+(H130*5+I130*3)*('WEEKLY INPUT'!P130/90)+(P130*0.15)*('WEEKLY INPUT'!P130/90)+Q130*0.25)</f>
        <v/>
      </c>
      <c r="U130" s="5">
        <f>IF($A130="","",$T130*(1+($3-'WEEKLY INPUT'!R130)*0.10)*$R130*$S130*1.0)</f>
        <v/>
      </c>
      <c r="V130" s="5">
        <f>IF($A130="","",$T130*(1+($3-'WEEKLY INPUT'!S130)*0.10)*$R130*$S130*0.975)</f>
        <v/>
      </c>
      <c r="W130" s="5">
        <f>IF($A130="","",$T130*(1+($3-'WEEKLY INPUT'!T130)*0.10)*$R130*$S130*0.95)</f>
        <v/>
      </c>
      <c r="X130" s="5">
        <f>IF($A130="","",$T130*(1+($3-'WEEKLY INPUT'!U130)*0.10)*$R130*$S130*0.925)</f>
        <v/>
      </c>
      <c r="Y130" s="5">
        <f>IF($A130="","",$T130*(1+($3-'WEEKLY INPUT'!V130)*0.10)*$R130*$S130*0.9)</f>
        <v/>
      </c>
      <c r="Z130" s="5">
        <f>IF($A130="","",$T130*(1+($3-'WEEKLY INPUT'!W130)*0.10)*$R130*$S130*0.875)</f>
        <v/>
      </c>
      <c r="AA130" s="5">
        <f>IF($A130="","",$T130*(1+($3-'WEEKLY INPUT'!X130)*0.10)*$R130*$S130*0.85)</f>
        <v/>
      </c>
      <c r="AB130" s="5">
        <f>IF($A130="","",$T130*(1+($3-'WEEKLY INPUT'!Y130)*0.10)*$R130*$S130*0.825)</f>
        <v/>
      </c>
      <c r="AC130" s="5">
        <f>SUM(U130:AB130)</f>
        <v/>
      </c>
      <c r="AD130" s="5">
        <f>SUM(U130:Z130)</f>
        <v/>
      </c>
      <c r="AE130" s="5">
        <f>IFERROR(AD130/D130,0)</f>
        <v/>
      </c>
      <c r="AF130" s="5">
        <f>MAX(0,1-R130)</f>
        <v/>
      </c>
      <c r="AG130" s="5">
        <f>IFERROR((H130+I130)*R130*(1+0.10*(3-'WEEKLY INPUT'!R130)),"")</f>
        <v/>
      </c>
      <c r="AH130" s="5">
        <f>IFERROR(AG130/SUMPRODUCT($AG$6:$AG$205),"")</f>
        <v/>
      </c>
      <c r="AI130" s="5">
        <f>IFERROR(AD130*(1-AF130*0.5)*(1+0.15*AE130),0)</f>
        <v/>
      </c>
      <c r="AJ130" s="5">
        <f>IF(A130="","",RANK(AI130,$AI$6:$AI$205,0))</f>
        <v/>
      </c>
      <c r="AK130" s="5">
        <f>IFERROR('WEEKLY INPUT'!Z130,"")</f>
        <v/>
      </c>
    </row>
    <row r="131">
      <c r="A131" s="5">
        <f>IFERROR('WEEKLY INPUT'!A131,"")</f>
        <v/>
      </c>
      <c r="B131" s="5">
        <f>IFERROR('WEEKLY INPUT'!B131,"")</f>
        <v/>
      </c>
      <c r="C131" s="5">
        <f>IFERROR('WEEKLY INPUT'!C131,"")</f>
        <v/>
      </c>
      <c r="D131" s="5">
        <f>IFERROR('WEEKLY INPUT'!D131,0)</f>
        <v/>
      </c>
      <c r="E131" s="5">
        <f>IFERROR('WEEKLY INPUT'!E131,0)</f>
        <v/>
      </c>
      <c r="F131" s="5">
        <f>IFERROR('WEEKLY INPUT'!F131,0)</f>
        <v/>
      </c>
      <c r="G131" s="5">
        <f>IFERROR('WEEKLY INPUT'!Q131,0)</f>
        <v/>
      </c>
      <c r="H131" s="5">
        <f>IFERROR('WEEKLY INPUT'!H131/'WEEKLY INPUT'!F131*90,0)</f>
        <v/>
      </c>
      <c r="I131" s="5">
        <f>IFERROR('WEEKLY INPUT'!I131/'WEEKLY INPUT'!F131*90,0)</f>
        <v/>
      </c>
      <c r="J131" s="5">
        <f>H131+I131</f>
        <v/>
      </c>
      <c r="K131" s="5">
        <f>IFERROR('WEEKLY INPUT'!J131/'WEEKLY INPUT'!F131*90,0)</f>
        <v/>
      </c>
      <c r="L131" s="5">
        <f>IFERROR('WEEKLY INPUT'!K131/'WEEKLY INPUT'!F131*90,0)</f>
        <v/>
      </c>
      <c r="M131" s="5">
        <f>IFERROR('WEEKLY INPUT'!L131/'WEEKLY INPUT'!F131*90,0)</f>
        <v/>
      </c>
      <c r="N131" s="5">
        <f>IFERROR('WEEKLY INPUT'!M131/'WEEKLY INPUT'!F131*90,0)</f>
        <v/>
      </c>
      <c r="O131" s="5">
        <f>IFERROR('WEEKLY INPUT'!N131/'WEEKLY INPUT'!F131*90,0)</f>
        <v/>
      </c>
      <c r="P131" s="5">
        <f>IFERROR('WEEKLY INPUT'!O131/'WEEKLY INPUT'!F131*90,0)</f>
        <v/>
      </c>
      <c r="Q131" s="5">
        <f>IFERROR(('WEEKLY INPUT'!J131*2+'WEEKLY INPUT'!K131*1+'WEEKLY INPUT'!O131*0.2)/'WEEKLY INPUT'!F131,0)</f>
        <v/>
      </c>
      <c r="R131" s="5">
        <f>MAX(0.25,MIN(1.15,(F131/540)*0.5+G131*0.5))</f>
        <v/>
      </c>
      <c r="S131" s="5">
        <f>MAX(0.70,MIN(1.10,0.85+0.15*G131))</f>
        <v/>
      </c>
      <c r="T131" s="5">
        <f>IF(A131="","",2*('WEEKLY INPUT'!P131/90)+(H131*5+I131*3)*('WEEKLY INPUT'!P131/90)+(P131*0.15)*('WEEKLY INPUT'!P131/90)+Q131*0.25)</f>
        <v/>
      </c>
      <c r="U131" s="5">
        <f>IF($A131="","",$T131*(1+($3-'WEEKLY INPUT'!R131)*0.10)*$R131*$S131*1.0)</f>
        <v/>
      </c>
      <c r="V131" s="5">
        <f>IF($A131="","",$T131*(1+($3-'WEEKLY INPUT'!S131)*0.10)*$R131*$S131*0.975)</f>
        <v/>
      </c>
      <c r="W131" s="5">
        <f>IF($A131="","",$T131*(1+($3-'WEEKLY INPUT'!T131)*0.10)*$R131*$S131*0.95)</f>
        <v/>
      </c>
      <c r="X131" s="5">
        <f>IF($A131="","",$T131*(1+($3-'WEEKLY INPUT'!U131)*0.10)*$R131*$S131*0.925)</f>
        <v/>
      </c>
      <c r="Y131" s="5">
        <f>IF($A131="","",$T131*(1+($3-'WEEKLY INPUT'!V131)*0.10)*$R131*$S131*0.9)</f>
        <v/>
      </c>
      <c r="Z131" s="5">
        <f>IF($A131="","",$T131*(1+($3-'WEEKLY INPUT'!W131)*0.10)*$R131*$S131*0.875)</f>
        <v/>
      </c>
      <c r="AA131" s="5">
        <f>IF($A131="","",$T131*(1+($3-'WEEKLY INPUT'!X131)*0.10)*$R131*$S131*0.85)</f>
        <v/>
      </c>
      <c r="AB131" s="5">
        <f>IF($A131="","",$T131*(1+($3-'WEEKLY INPUT'!Y131)*0.10)*$R131*$S131*0.825)</f>
        <v/>
      </c>
      <c r="AC131" s="5">
        <f>SUM(U131:AB131)</f>
        <v/>
      </c>
      <c r="AD131" s="5">
        <f>SUM(U131:Z131)</f>
        <v/>
      </c>
      <c r="AE131" s="5">
        <f>IFERROR(AD131/D131,0)</f>
        <v/>
      </c>
      <c r="AF131" s="5">
        <f>MAX(0,1-R131)</f>
        <v/>
      </c>
      <c r="AG131" s="5">
        <f>IFERROR((H131+I131)*R131*(1+0.10*(3-'WEEKLY INPUT'!R131)),"")</f>
        <v/>
      </c>
      <c r="AH131" s="5">
        <f>IFERROR(AG131/SUMPRODUCT($AG$6:$AG$205),"")</f>
        <v/>
      </c>
      <c r="AI131" s="5">
        <f>IFERROR(AD131*(1-AF131*0.5)*(1+0.15*AE131),0)</f>
        <v/>
      </c>
      <c r="AJ131" s="5">
        <f>IF(A131="","",RANK(AI131,$AI$6:$AI$205,0))</f>
        <v/>
      </c>
      <c r="AK131" s="5">
        <f>IFERROR('WEEKLY INPUT'!Z131,"")</f>
        <v/>
      </c>
    </row>
    <row r="132">
      <c r="A132" s="5">
        <f>IFERROR('WEEKLY INPUT'!A132,"")</f>
        <v/>
      </c>
      <c r="B132" s="5">
        <f>IFERROR('WEEKLY INPUT'!B132,"")</f>
        <v/>
      </c>
      <c r="C132" s="5">
        <f>IFERROR('WEEKLY INPUT'!C132,"")</f>
        <v/>
      </c>
      <c r="D132" s="5">
        <f>IFERROR('WEEKLY INPUT'!D132,0)</f>
        <v/>
      </c>
      <c r="E132" s="5">
        <f>IFERROR('WEEKLY INPUT'!E132,0)</f>
        <v/>
      </c>
      <c r="F132" s="5">
        <f>IFERROR('WEEKLY INPUT'!F132,0)</f>
        <v/>
      </c>
      <c r="G132" s="5">
        <f>IFERROR('WEEKLY INPUT'!Q132,0)</f>
        <v/>
      </c>
      <c r="H132" s="5">
        <f>IFERROR('WEEKLY INPUT'!H132/'WEEKLY INPUT'!F132*90,0)</f>
        <v/>
      </c>
      <c r="I132" s="5">
        <f>IFERROR('WEEKLY INPUT'!I132/'WEEKLY INPUT'!F132*90,0)</f>
        <v/>
      </c>
      <c r="J132" s="5">
        <f>H132+I132</f>
        <v/>
      </c>
      <c r="K132" s="5">
        <f>IFERROR('WEEKLY INPUT'!J132/'WEEKLY INPUT'!F132*90,0)</f>
        <v/>
      </c>
      <c r="L132" s="5">
        <f>IFERROR('WEEKLY INPUT'!K132/'WEEKLY INPUT'!F132*90,0)</f>
        <v/>
      </c>
      <c r="M132" s="5">
        <f>IFERROR('WEEKLY INPUT'!L132/'WEEKLY INPUT'!F132*90,0)</f>
        <v/>
      </c>
      <c r="N132" s="5">
        <f>IFERROR('WEEKLY INPUT'!M132/'WEEKLY INPUT'!F132*90,0)</f>
        <v/>
      </c>
      <c r="O132" s="5">
        <f>IFERROR('WEEKLY INPUT'!N132/'WEEKLY INPUT'!F132*90,0)</f>
        <v/>
      </c>
      <c r="P132" s="5">
        <f>IFERROR('WEEKLY INPUT'!O132/'WEEKLY INPUT'!F132*90,0)</f>
        <v/>
      </c>
      <c r="Q132" s="5">
        <f>IFERROR(('WEEKLY INPUT'!J132*2+'WEEKLY INPUT'!K132*1+'WEEKLY INPUT'!O132*0.2)/'WEEKLY INPUT'!F132,0)</f>
        <v/>
      </c>
      <c r="R132" s="5">
        <f>MAX(0.25,MIN(1.15,(F132/540)*0.5+G132*0.5))</f>
        <v/>
      </c>
      <c r="S132" s="5">
        <f>MAX(0.70,MIN(1.10,0.85+0.15*G132))</f>
        <v/>
      </c>
      <c r="T132" s="5">
        <f>IF(A132="","",2*('WEEKLY INPUT'!P132/90)+(H132*5+I132*3)*('WEEKLY INPUT'!P132/90)+(P132*0.15)*('WEEKLY INPUT'!P132/90)+Q132*0.25)</f>
        <v/>
      </c>
      <c r="U132" s="5">
        <f>IF($A132="","",$T132*(1+($3-'WEEKLY INPUT'!R132)*0.10)*$R132*$S132*1.0)</f>
        <v/>
      </c>
      <c r="V132" s="5">
        <f>IF($A132="","",$T132*(1+($3-'WEEKLY INPUT'!S132)*0.10)*$R132*$S132*0.975)</f>
        <v/>
      </c>
      <c r="W132" s="5">
        <f>IF($A132="","",$T132*(1+($3-'WEEKLY INPUT'!T132)*0.10)*$R132*$S132*0.95)</f>
        <v/>
      </c>
      <c r="X132" s="5">
        <f>IF($A132="","",$T132*(1+($3-'WEEKLY INPUT'!U132)*0.10)*$R132*$S132*0.925)</f>
        <v/>
      </c>
      <c r="Y132" s="5">
        <f>IF($A132="","",$T132*(1+($3-'WEEKLY INPUT'!V132)*0.10)*$R132*$S132*0.9)</f>
        <v/>
      </c>
      <c r="Z132" s="5">
        <f>IF($A132="","",$T132*(1+($3-'WEEKLY INPUT'!W132)*0.10)*$R132*$S132*0.875)</f>
        <v/>
      </c>
      <c r="AA132" s="5">
        <f>IF($A132="","",$T132*(1+($3-'WEEKLY INPUT'!X132)*0.10)*$R132*$S132*0.85)</f>
        <v/>
      </c>
      <c r="AB132" s="5">
        <f>IF($A132="","",$T132*(1+($3-'WEEKLY INPUT'!Y132)*0.10)*$R132*$S132*0.825)</f>
        <v/>
      </c>
      <c r="AC132" s="5">
        <f>SUM(U132:AB132)</f>
        <v/>
      </c>
      <c r="AD132" s="5">
        <f>SUM(U132:Z132)</f>
        <v/>
      </c>
      <c r="AE132" s="5">
        <f>IFERROR(AD132/D132,0)</f>
        <v/>
      </c>
      <c r="AF132" s="5">
        <f>MAX(0,1-R132)</f>
        <v/>
      </c>
      <c r="AG132" s="5">
        <f>IFERROR((H132+I132)*R132*(1+0.10*(3-'WEEKLY INPUT'!R132)),"")</f>
        <v/>
      </c>
      <c r="AH132" s="5">
        <f>IFERROR(AG132/SUMPRODUCT($AG$6:$AG$205),"")</f>
        <v/>
      </c>
      <c r="AI132" s="5">
        <f>IFERROR(AD132*(1-AF132*0.5)*(1+0.15*AE132),0)</f>
        <v/>
      </c>
      <c r="AJ132" s="5">
        <f>IF(A132="","",RANK(AI132,$AI$6:$AI$205,0))</f>
        <v/>
      </c>
      <c r="AK132" s="5">
        <f>IFERROR('WEEKLY INPUT'!Z132,"")</f>
        <v/>
      </c>
    </row>
    <row r="133">
      <c r="A133" s="5">
        <f>IFERROR('WEEKLY INPUT'!A133,"")</f>
        <v/>
      </c>
      <c r="B133" s="5">
        <f>IFERROR('WEEKLY INPUT'!B133,"")</f>
        <v/>
      </c>
      <c r="C133" s="5">
        <f>IFERROR('WEEKLY INPUT'!C133,"")</f>
        <v/>
      </c>
      <c r="D133" s="5">
        <f>IFERROR('WEEKLY INPUT'!D133,0)</f>
        <v/>
      </c>
      <c r="E133" s="5">
        <f>IFERROR('WEEKLY INPUT'!E133,0)</f>
        <v/>
      </c>
      <c r="F133" s="5">
        <f>IFERROR('WEEKLY INPUT'!F133,0)</f>
        <v/>
      </c>
      <c r="G133" s="5">
        <f>IFERROR('WEEKLY INPUT'!Q133,0)</f>
        <v/>
      </c>
      <c r="H133" s="5">
        <f>IFERROR('WEEKLY INPUT'!H133/'WEEKLY INPUT'!F133*90,0)</f>
        <v/>
      </c>
      <c r="I133" s="5">
        <f>IFERROR('WEEKLY INPUT'!I133/'WEEKLY INPUT'!F133*90,0)</f>
        <v/>
      </c>
      <c r="J133" s="5">
        <f>H133+I133</f>
        <v/>
      </c>
      <c r="K133" s="5">
        <f>IFERROR('WEEKLY INPUT'!J133/'WEEKLY INPUT'!F133*90,0)</f>
        <v/>
      </c>
      <c r="L133" s="5">
        <f>IFERROR('WEEKLY INPUT'!K133/'WEEKLY INPUT'!F133*90,0)</f>
        <v/>
      </c>
      <c r="M133" s="5">
        <f>IFERROR('WEEKLY INPUT'!L133/'WEEKLY INPUT'!F133*90,0)</f>
        <v/>
      </c>
      <c r="N133" s="5">
        <f>IFERROR('WEEKLY INPUT'!M133/'WEEKLY INPUT'!F133*90,0)</f>
        <v/>
      </c>
      <c r="O133" s="5">
        <f>IFERROR('WEEKLY INPUT'!N133/'WEEKLY INPUT'!F133*90,0)</f>
        <v/>
      </c>
      <c r="P133" s="5">
        <f>IFERROR('WEEKLY INPUT'!O133/'WEEKLY INPUT'!F133*90,0)</f>
        <v/>
      </c>
      <c r="Q133" s="5">
        <f>IFERROR(('WEEKLY INPUT'!J133*2+'WEEKLY INPUT'!K133*1+'WEEKLY INPUT'!O133*0.2)/'WEEKLY INPUT'!F133,0)</f>
        <v/>
      </c>
      <c r="R133" s="5">
        <f>MAX(0.25,MIN(1.15,(F133/540)*0.5+G133*0.5))</f>
        <v/>
      </c>
      <c r="S133" s="5">
        <f>MAX(0.70,MIN(1.10,0.85+0.15*G133))</f>
        <v/>
      </c>
      <c r="T133" s="5">
        <f>IF(A133="","",2*('WEEKLY INPUT'!P133/90)+(H133*5+I133*3)*('WEEKLY INPUT'!P133/90)+(P133*0.15)*('WEEKLY INPUT'!P133/90)+Q133*0.25)</f>
        <v/>
      </c>
      <c r="U133" s="5">
        <f>IF($A133="","",$T133*(1+($3-'WEEKLY INPUT'!R133)*0.10)*$R133*$S133*1.0)</f>
        <v/>
      </c>
      <c r="V133" s="5">
        <f>IF($A133="","",$T133*(1+($3-'WEEKLY INPUT'!S133)*0.10)*$R133*$S133*0.975)</f>
        <v/>
      </c>
      <c r="W133" s="5">
        <f>IF($A133="","",$T133*(1+($3-'WEEKLY INPUT'!T133)*0.10)*$R133*$S133*0.95)</f>
        <v/>
      </c>
      <c r="X133" s="5">
        <f>IF($A133="","",$T133*(1+($3-'WEEKLY INPUT'!U133)*0.10)*$R133*$S133*0.925)</f>
        <v/>
      </c>
      <c r="Y133" s="5">
        <f>IF($A133="","",$T133*(1+($3-'WEEKLY INPUT'!V133)*0.10)*$R133*$S133*0.9)</f>
        <v/>
      </c>
      <c r="Z133" s="5">
        <f>IF($A133="","",$T133*(1+($3-'WEEKLY INPUT'!W133)*0.10)*$R133*$S133*0.875)</f>
        <v/>
      </c>
      <c r="AA133" s="5">
        <f>IF($A133="","",$T133*(1+($3-'WEEKLY INPUT'!X133)*0.10)*$R133*$S133*0.85)</f>
        <v/>
      </c>
      <c r="AB133" s="5">
        <f>IF($A133="","",$T133*(1+($3-'WEEKLY INPUT'!Y133)*0.10)*$R133*$S133*0.825)</f>
        <v/>
      </c>
      <c r="AC133" s="5">
        <f>SUM(U133:AB133)</f>
        <v/>
      </c>
      <c r="AD133" s="5">
        <f>SUM(U133:Z133)</f>
        <v/>
      </c>
      <c r="AE133" s="5">
        <f>IFERROR(AD133/D133,0)</f>
        <v/>
      </c>
      <c r="AF133" s="5">
        <f>MAX(0,1-R133)</f>
        <v/>
      </c>
      <c r="AG133" s="5">
        <f>IFERROR((H133+I133)*R133*(1+0.10*(3-'WEEKLY INPUT'!R133)),"")</f>
        <v/>
      </c>
      <c r="AH133" s="5">
        <f>IFERROR(AG133/SUMPRODUCT($AG$6:$AG$205),"")</f>
        <v/>
      </c>
      <c r="AI133" s="5">
        <f>IFERROR(AD133*(1-AF133*0.5)*(1+0.15*AE133),0)</f>
        <v/>
      </c>
      <c r="AJ133" s="5">
        <f>IF(A133="","",RANK(AI133,$AI$6:$AI$205,0))</f>
        <v/>
      </c>
      <c r="AK133" s="5">
        <f>IFERROR('WEEKLY INPUT'!Z133,"")</f>
        <v/>
      </c>
    </row>
    <row r="134">
      <c r="A134" s="5">
        <f>IFERROR('WEEKLY INPUT'!A134,"")</f>
        <v/>
      </c>
      <c r="B134" s="5">
        <f>IFERROR('WEEKLY INPUT'!B134,"")</f>
        <v/>
      </c>
      <c r="C134" s="5">
        <f>IFERROR('WEEKLY INPUT'!C134,"")</f>
        <v/>
      </c>
      <c r="D134" s="5">
        <f>IFERROR('WEEKLY INPUT'!D134,0)</f>
        <v/>
      </c>
      <c r="E134" s="5">
        <f>IFERROR('WEEKLY INPUT'!E134,0)</f>
        <v/>
      </c>
      <c r="F134" s="5">
        <f>IFERROR('WEEKLY INPUT'!F134,0)</f>
        <v/>
      </c>
      <c r="G134" s="5">
        <f>IFERROR('WEEKLY INPUT'!Q134,0)</f>
        <v/>
      </c>
      <c r="H134" s="5">
        <f>IFERROR('WEEKLY INPUT'!H134/'WEEKLY INPUT'!F134*90,0)</f>
        <v/>
      </c>
      <c r="I134" s="5">
        <f>IFERROR('WEEKLY INPUT'!I134/'WEEKLY INPUT'!F134*90,0)</f>
        <v/>
      </c>
      <c r="J134" s="5">
        <f>H134+I134</f>
        <v/>
      </c>
      <c r="K134" s="5">
        <f>IFERROR('WEEKLY INPUT'!J134/'WEEKLY INPUT'!F134*90,0)</f>
        <v/>
      </c>
      <c r="L134" s="5">
        <f>IFERROR('WEEKLY INPUT'!K134/'WEEKLY INPUT'!F134*90,0)</f>
        <v/>
      </c>
      <c r="M134" s="5">
        <f>IFERROR('WEEKLY INPUT'!L134/'WEEKLY INPUT'!F134*90,0)</f>
        <v/>
      </c>
      <c r="N134" s="5">
        <f>IFERROR('WEEKLY INPUT'!M134/'WEEKLY INPUT'!F134*90,0)</f>
        <v/>
      </c>
      <c r="O134" s="5">
        <f>IFERROR('WEEKLY INPUT'!N134/'WEEKLY INPUT'!F134*90,0)</f>
        <v/>
      </c>
      <c r="P134" s="5">
        <f>IFERROR('WEEKLY INPUT'!O134/'WEEKLY INPUT'!F134*90,0)</f>
        <v/>
      </c>
      <c r="Q134" s="5">
        <f>IFERROR(('WEEKLY INPUT'!J134*2+'WEEKLY INPUT'!K134*1+'WEEKLY INPUT'!O134*0.2)/'WEEKLY INPUT'!F134,0)</f>
        <v/>
      </c>
      <c r="R134" s="5">
        <f>MAX(0.25,MIN(1.15,(F134/540)*0.5+G134*0.5))</f>
        <v/>
      </c>
      <c r="S134" s="5">
        <f>MAX(0.70,MIN(1.10,0.85+0.15*G134))</f>
        <v/>
      </c>
      <c r="T134" s="5">
        <f>IF(A134="","",2*('WEEKLY INPUT'!P134/90)+(H134*5+I134*3)*('WEEKLY INPUT'!P134/90)+(P134*0.15)*('WEEKLY INPUT'!P134/90)+Q134*0.25)</f>
        <v/>
      </c>
      <c r="U134" s="5">
        <f>IF($A134="","",$T134*(1+($3-'WEEKLY INPUT'!R134)*0.10)*$R134*$S134*1.0)</f>
        <v/>
      </c>
      <c r="V134" s="5">
        <f>IF($A134="","",$T134*(1+($3-'WEEKLY INPUT'!S134)*0.10)*$R134*$S134*0.975)</f>
        <v/>
      </c>
      <c r="W134" s="5">
        <f>IF($A134="","",$T134*(1+($3-'WEEKLY INPUT'!T134)*0.10)*$R134*$S134*0.95)</f>
        <v/>
      </c>
      <c r="X134" s="5">
        <f>IF($A134="","",$T134*(1+($3-'WEEKLY INPUT'!U134)*0.10)*$R134*$S134*0.925)</f>
        <v/>
      </c>
      <c r="Y134" s="5">
        <f>IF($A134="","",$T134*(1+($3-'WEEKLY INPUT'!V134)*0.10)*$R134*$S134*0.9)</f>
        <v/>
      </c>
      <c r="Z134" s="5">
        <f>IF($A134="","",$T134*(1+($3-'WEEKLY INPUT'!W134)*0.10)*$R134*$S134*0.875)</f>
        <v/>
      </c>
      <c r="AA134" s="5">
        <f>IF($A134="","",$T134*(1+($3-'WEEKLY INPUT'!X134)*0.10)*$R134*$S134*0.85)</f>
        <v/>
      </c>
      <c r="AB134" s="5">
        <f>IF($A134="","",$T134*(1+($3-'WEEKLY INPUT'!Y134)*0.10)*$R134*$S134*0.825)</f>
        <v/>
      </c>
      <c r="AC134" s="5">
        <f>SUM(U134:AB134)</f>
        <v/>
      </c>
      <c r="AD134" s="5">
        <f>SUM(U134:Z134)</f>
        <v/>
      </c>
      <c r="AE134" s="5">
        <f>IFERROR(AD134/D134,0)</f>
        <v/>
      </c>
      <c r="AF134" s="5">
        <f>MAX(0,1-R134)</f>
        <v/>
      </c>
      <c r="AG134" s="5">
        <f>IFERROR((H134+I134)*R134*(1+0.10*(3-'WEEKLY INPUT'!R134)),"")</f>
        <v/>
      </c>
      <c r="AH134" s="5">
        <f>IFERROR(AG134/SUMPRODUCT($AG$6:$AG$205),"")</f>
        <v/>
      </c>
      <c r="AI134" s="5">
        <f>IFERROR(AD134*(1-AF134*0.5)*(1+0.15*AE134),0)</f>
        <v/>
      </c>
      <c r="AJ134" s="5">
        <f>IF(A134="","",RANK(AI134,$AI$6:$AI$205,0))</f>
        <v/>
      </c>
      <c r="AK134" s="5">
        <f>IFERROR('WEEKLY INPUT'!Z134,"")</f>
        <v/>
      </c>
    </row>
    <row r="135">
      <c r="A135" s="5">
        <f>IFERROR('WEEKLY INPUT'!A135,"")</f>
        <v/>
      </c>
      <c r="B135" s="5">
        <f>IFERROR('WEEKLY INPUT'!B135,"")</f>
        <v/>
      </c>
      <c r="C135" s="5">
        <f>IFERROR('WEEKLY INPUT'!C135,"")</f>
        <v/>
      </c>
      <c r="D135" s="5">
        <f>IFERROR('WEEKLY INPUT'!D135,0)</f>
        <v/>
      </c>
      <c r="E135" s="5">
        <f>IFERROR('WEEKLY INPUT'!E135,0)</f>
        <v/>
      </c>
      <c r="F135" s="5">
        <f>IFERROR('WEEKLY INPUT'!F135,0)</f>
        <v/>
      </c>
      <c r="G135" s="5">
        <f>IFERROR('WEEKLY INPUT'!Q135,0)</f>
        <v/>
      </c>
      <c r="H135" s="5">
        <f>IFERROR('WEEKLY INPUT'!H135/'WEEKLY INPUT'!F135*90,0)</f>
        <v/>
      </c>
      <c r="I135" s="5">
        <f>IFERROR('WEEKLY INPUT'!I135/'WEEKLY INPUT'!F135*90,0)</f>
        <v/>
      </c>
      <c r="J135" s="5">
        <f>H135+I135</f>
        <v/>
      </c>
      <c r="K135" s="5">
        <f>IFERROR('WEEKLY INPUT'!J135/'WEEKLY INPUT'!F135*90,0)</f>
        <v/>
      </c>
      <c r="L135" s="5">
        <f>IFERROR('WEEKLY INPUT'!K135/'WEEKLY INPUT'!F135*90,0)</f>
        <v/>
      </c>
      <c r="M135" s="5">
        <f>IFERROR('WEEKLY INPUT'!L135/'WEEKLY INPUT'!F135*90,0)</f>
        <v/>
      </c>
      <c r="N135" s="5">
        <f>IFERROR('WEEKLY INPUT'!M135/'WEEKLY INPUT'!F135*90,0)</f>
        <v/>
      </c>
      <c r="O135" s="5">
        <f>IFERROR('WEEKLY INPUT'!N135/'WEEKLY INPUT'!F135*90,0)</f>
        <v/>
      </c>
      <c r="P135" s="5">
        <f>IFERROR('WEEKLY INPUT'!O135/'WEEKLY INPUT'!F135*90,0)</f>
        <v/>
      </c>
      <c r="Q135" s="5">
        <f>IFERROR(('WEEKLY INPUT'!J135*2+'WEEKLY INPUT'!K135*1+'WEEKLY INPUT'!O135*0.2)/'WEEKLY INPUT'!F135,0)</f>
        <v/>
      </c>
      <c r="R135" s="5">
        <f>MAX(0.25,MIN(1.15,(F135/540)*0.5+G135*0.5))</f>
        <v/>
      </c>
      <c r="S135" s="5">
        <f>MAX(0.70,MIN(1.10,0.85+0.15*G135))</f>
        <v/>
      </c>
      <c r="T135" s="5">
        <f>IF(A135="","",2*('WEEKLY INPUT'!P135/90)+(H135*5+I135*3)*('WEEKLY INPUT'!P135/90)+(P135*0.15)*('WEEKLY INPUT'!P135/90)+Q135*0.25)</f>
        <v/>
      </c>
      <c r="U135" s="5">
        <f>IF($A135="","",$T135*(1+($3-'WEEKLY INPUT'!R135)*0.10)*$R135*$S135*1.0)</f>
        <v/>
      </c>
      <c r="V135" s="5">
        <f>IF($A135="","",$T135*(1+($3-'WEEKLY INPUT'!S135)*0.10)*$R135*$S135*0.975)</f>
        <v/>
      </c>
      <c r="W135" s="5">
        <f>IF($A135="","",$T135*(1+($3-'WEEKLY INPUT'!T135)*0.10)*$R135*$S135*0.95)</f>
        <v/>
      </c>
      <c r="X135" s="5">
        <f>IF($A135="","",$T135*(1+($3-'WEEKLY INPUT'!U135)*0.10)*$R135*$S135*0.925)</f>
        <v/>
      </c>
      <c r="Y135" s="5">
        <f>IF($A135="","",$T135*(1+($3-'WEEKLY INPUT'!V135)*0.10)*$R135*$S135*0.9)</f>
        <v/>
      </c>
      <c r="Z135" s="5">
        <f>IF($A135="","",$T135*(1+($3-'WEEKLY INPUT'!W135)*0.10)*$R135*$S135*0.875)</f>
        <v/>
      </c>
      <c r="AA135" s="5">
        <f>IF($A135="","",$T135*(1+($3-'WEEKLY INPUT'!X135)*0.10)*$R135*$S135*0.85)</f>
        <v/>
      </c>
      <c r="AB135" s="5">
        <f>IF($A135="","",$T135*(1+($3-'WEEKLY INPUT'!Y135)*0.10)*$R135*$S135*0.825)</f>
        <v/>
      </c>
      <c r="AC135" s="5">
        <f>SUM(U135:AB135)</f>
        <v/>
      </c>
      <c r="AD135" s="5">
        <f>SUM(U135:Z135)</f>
        <v/>
      </c>
      <c r="AE135" s="5">
        <f>IFERROR(AD135/D135,0)</f>
        <v/>
      </c>
      <c r="AF135" s="5">
        <f>MAX(0,1-R135)</f>
        <v/>
      </c>
      <c r="AG135" s="5">
        <f>IFERROR((H135+I135)*R135*(1+0.10*(3-'WEEKLY INPUT'!R135)),"")</f>
        <v/>
      </c>
      <c r="AH135" s="5">
        <f>IFERROR(AG135/SUMPRODUCT($AG$6:$AG$205),"")</f>
        <v/>
      </c>
      <c r="AI135" s="5">
        <f>IFERROR(AD135*(1-AF135*0.5)*(1+0.15*AE135),0)</f>
        <v/>
      </c>
      <c r="AJ135" s="5">
        <f>IF(A135="","",RANK(AI135,$AI$6:$AI$205,0))</f>
        <v/>
      </c>
      <c r="AK135" s="5">
        <f>IFERROR('WEEKLY INPUT'!Z135,"")</f>
        <v/>
      </c>
    </row>
    <row r="136">
      <c r="A136" s="5">
        <f>IFERROR('WEEKLY INPUT'!A136,"")</f>
        <v/>
      </c>
      <c r="B136" s="5">
        <f>IFERROR('WEEKLY INPUT'!B136,"")</f>
        <v/>
      </c>
      <c r="C136" s="5">
        <f>IFERROR('WEEKLY INPUT'!C136,"")</f>
        <v/>
      </c>
      <c r="D136" s="5">
        <f>IFERROR('WEEKLY INPUT'!D136,0)</f>
        <v/>
      </c>
      <c r="E136" s="5">
        <f>IFERROR('WEEKLY INPUT'!E136,0)</f>
        <v/>
      </c>
      <c r="F136" s="5">
        <f>IFERROR('WEEKLY INPUT'!F136,0)</f>
        <v/>
      </c>
      <c r="G136" s="5">
        <f>IFERROR('WEEKLY INPUT'!Q136,0)</f>
        <v/>
      </c>
      <c r="H136" s="5">
        <f>IFERROR('WEEKLY INPUT'!H136/'WEEKLY INPUT'!F136*90,0)</f>
        <v/>
      </c>
      <c r="I136" s="5">
        <f>IFERROR('WEEKLY INPUT'!I136/'WEEKLY INPUT'!F136*90,0)</f>
        <v/>
      </c>
      <c r="J136" s="5">
        <f>H136+I136</f>
        <v/>
      </c>
      <c r="K136" s="5">
        <f>IFERROR('WEEKLY INPUT'!J136/'WEEKLY INPUT'!F136*90,0)</f>
        <v/>
      </c>
      <c r="L136" s="5">
        <f>IFERROR('WEEKLY INPUT'!K136/'WEEKLY INPUT'!F136*90,0)</f>
        <v/>
      </c>
      <c r="M136" s="5">
        <f>IFERROR('WEEKLY INPUT'!L136/'WEEKLY INPUT'!F136*90,0)</f>
        <v/>
      </c>
      <c r="N136" s="5">
        <f>IFERROR('WEEKLY INPUT'!M136/'WEEKLY INPUT'!F136*90,0)</f>
        <v/>
      </c>
      <c r="O136" s="5">
        <f>IFERROR('WEEKLY INPUT'!N136/'WEEKLY INPUT'!F136*90,0)</f>
        <v/>
      </c>
      <c r="P136" s="5">
        <f>IFERROR('WEEKLY INPUT'!O136/'WEEKLY INPUT'!F136*90,0)</f>
        <v/>
      </c>
      <c r="Q136" s="5">
        <f>IFERROR(('WEEKLY INPUT'!J136*2+'WEEKLY INPUT'!K136*1+'WEEKLY INPUT'!O136*0.2)/'WEEKLY INPUT'!F136,0)</f>
        <v/>
      </c>
      <c r="R136" s="5">
        <f>MAX(0.25,MIN(1.15,(F136/540)*0.5+G136*0.5))</f>
        <v/>
      </c>
      <c r="S136" s="5">
        <f>MAX(0.70,MIN(1.10,0.85+0.15*G136))</f>
        <v/>
      </c>
      <c r="T136" s="5">
        <f>IF(A136="","",2*('WEEKLY INPUT'!P136/90)+(H136*5+I136*3)*('WEEKLY INPUT'!P136/90)+(P136*0.15)*('WEEKLY INPUT'!P136/90)+Q136*0.25)</f>
        <v/>
      </c>
      <c r="U136" s="5">
        <f>IF($A136="","",$T136*(1+($3-'WEEKLY INPUT'!R136)*0.10)*$R136*$S136*1.0)</f>
        <v/>
      </c>
      <c r="V136" s="5">
        <f>IF($A136="","",$T136*(1+($3-'WEEKLY INPUT'!S136)*0.10)*$R136*$S136*0.975)</f>
        <v/>
      </c>
      <c r="W136" s="5">
        <f>IF($A136="","",$T136*(1+($3-'WEEKLY INPUT'!T136)*0.10)*$R136*$S136*0.95)</f>
        <v/>
      </c>
      <c r="X136" s="5">
        <f>IF($A136="","",$T136*(1+($3-'WEEKLY INPUT'!U136)*0.10)*$R136*$S136*0.925)</f>
        <v/>
      </c>
      <c r="Y136" s="5">
        <f>IF($A136="","",$T136*(1+($3-'WEEKLY INPUT'!V136)*0.10)*$R136*$S136*0.9)</f>
        <v/>
      </c>
      <c r="Z136" s="5">
        <f>IF($A136="","",$T136*(1+($3-'WEEKLY INPUT'!W136)*0.10)*$R136*$S136*0.875)</f>
        <v/>
      </c>
      <c r="AA136" s="5">
        <f>IF($A136="","",$T136*(1+($3-'WEEKLY INPUT'!X136)*0.10)*$R136*$S136*0.85)</f>
        <v/>
      </c>
      <c r="AB136" s="5">
        <f>IF($A136="","",$T136*(1+($3-'WEEKLY INPUT'!Y136)*0.10)*$R136*$S136*0.825)</f>
        <v/>
      </c>
      <c r="AC136" s="5">
        <f>SUM(U136:AB136)</f>
        <v/>
      </c>
      <c r="AD136" s="5">
        <f>SUM(U136:Z136)</f>
        <v/>
      </c>
      <c r="AE136" s="5">
        <f>IFERROR(AD136/D136,0)</f>
        <v/>
      </c>
      <c r="AF136" s="5">
        <f>MAX(0,1-R136)</f>
        <v/>
      </c>
      <c r="AG136" s="5">
        <f>IFERROR((H136+I136)*R136*(1+0.10*(3-'WEEKLY INPUT'!R136)),"")</f>
        <v/>
      </c>
      <c r="AH136" s="5">
        <f>IFERROR(AG136/SUMPRODUCT($AG$6:$AG$205),"")</f>
        <v/>
      </c>
      <c r="AI136" s="5">
        <f>IFERROR(AD136*(1-AF136*0.5)*(1+0.15*AE136),0)</f>
        <v/>
      </c>
      <c r="AJ136" s="5">
        <f>IF(A136="","",RANK(AI136,$AI$6:$AI$205,0))</f>
        <v/>
      </c>
      <c r="AK136" s="5">
        <f>IFERROR('WEEKLY INPUT'!Z136,"")</f>
        <v/>
      </c>
    </row>
    <row r="137">
      <c r="A137" s="5">
        <f>IFERROR('WEEKLY INPUT'!A137,"")</f>
        <v/>
      </c>
      <c r="B137" s="5">
        <f>IFERROR('WEEKLY INPUT'!B137,"")</f>
        <v/>
      </c>
      <c r="C137" s="5">
        <f>IFERROR('WEEKLY INPUT'!C137,"")</f>
        <v/>
      </c>
      <c r="D137" s="5">
        <f>IFERROR('WEEKLY INPUT'!D137,0)</f>
        <v/>
      </c>
      <c r="E137" s="5">
        <f>IFERROR('WEEKLY INPUT'!E137,0)</f>
        <v/>
      </c>
      <c r="F137" s="5">
        <f>IFERROR('WEEKLY INPUT'!F137,0)</f>
        <v/>
      </c>
      <c r="G137" s="5">
        <f>IFERROR('WEEKLY INPUT'!Q137,0)</f>
        <v/>
      </c>
      <c r="H137" s="5">
        <f>IFERROR('WEEKLY INPUT'!H137/'WEEKLY INPUT'!F137*90,0)</f>
        <v/>
      </c>
      <c r="I137" s="5">
        <f>IFERROR('WEEKLY INPUT'!I137/'WEEKLY INPUT'!F137*90,0)</f>
        <v/>
      </c>
      <c r="J137" s="5">
        <f>H137+I137</f>
        <v/>
      </c>
      <c r="K137" s="5">
        <f>IFERROR('WEEKLY INPUT'!J137/'WEEKLY INPUT'!F137*90,0)</f>
        <v/>
      </c>
      <c r="L137" s="5">
        <f>IFERROR('WEEKLY INPUT'!K137/'WEEKLY INPUT'!F137*90,0)</f>
        <v/>
      </c>
      <c r="M137" s="5">
        <f>IFERROR('WEEKLY INPUT'!L137/'WEEKLY INPUT'!F137*90,0)</f>
        <v/>
      </c>
      <c r="N137" s="5">
        <f>IFERROR('WEEKLY INPUT'!M137/'WEEKLY INPUT'!F137*90,0)</f>
        <v/>
      </c>
      <c r="O137" s="5">
        <f>IFERROR('WEEKLY INPUT'!N137/'WEEKLY INPUT'!F137*90,0)</f>
        <v/>
      </c>
      <c r="P137" s="5">
        <f>IFERROR('WEEKLY INPUT'!O137/'WEEKLY INPUT'!F137*90,0)</f>
        <v/>
      </c>
      <c r="Q137" s="5">
        <f>IFERROR(('WEEKLY INPUT'!J137*2+'WEEKLY INPUT'!K137*1+'WEEKLY INPUT'!O137*0.2)/'WEEKLY INPUT'!F137,0)</f>
        <v/>
      </c>
      <c r="R137" s="5">
        <f>MAX(0.25,MIN(1.15,(F137/540)*0.5+G137*0.5))</f>
        <v/>
      </c>
      <c r="S137" s="5">
        <f>MAX(0.70,MIN(1.10,0.85+0.15*G137))</f>
        <v/>
      </c>
      <c r="T137" s="5">
        <f>IF(A137="","",2*('WEEKLY INPUT'!P137/90)+(H137*5+I137*3)*('WEEKLY INPUT'!P137/90)+(P137*0.15)*('WEEKLY INPUT'!P137/90)+Q137*0.25)</f>
        <v/>
      </c>
      <c r="U137" s="5">
        <f>IF($A137="","",$T137*(1+($3-'WEEKLY INPUT'!R137)*0.10)*$R137*$S137*1.0)</f>
        <v/>
      </c>
      <c r="V137" s="5">
        <f>IF($A137="","",$T137*(1+($3-'WEEKLY INPUT'!S137)*0.10)*$R137*$S137*0.975)</f>
        <v/>
      </c>
      <c r="W137" s="5">
        <f>IF($A137="","",$T137*(1+($3-'WEEKLY INPUT'!T137)*0.10)*$R137*$S137*0.95)</f>
        <v/>
      </c>
      <c r="X137" s="5">
        <f>IF($A137="","",$T137*(1+($3-'WEEKLY INPUT'!U137)*0.10)*$R137*$S137*0.925)</f>
        <v/>
      </c>
      <c r="Y137" s="5">
        <f>IF($A137="","",$T137*(1+($3-'WEEKLY INPUT'!V137)*0.10)*$R137*$S137*0.9)</f>
        <v/>
      </c>
      <c r="Z137" s="5">
        <f>IF($A137="","",$T137*(1+($3-'WEEKLY INPUT'!W137)*0.10)*$R137*$S137*0.875)</f>
        <v/>
      </c>
      <c r="AA137" s="5">
        <f>IF($A137="","",$T137*(1+($3-'WEEKLY INPUT'!X137)*0.10)*$R137*$S137*0.85)</f>
        <v/>
      </c>
      <c r="AB137" s="5">
        <f>IF($A137="","",$T137*(1+($3-'WEEKLY INPUT'!Y137)*0.10)*$R137*$S137*0.825)</f>
        <v/>
      </c>
      <c r="AC137" s="5">
        <f>SUM(U137:AB137)</f>
        <v/>
      </c>
      <c r="AD137" s="5">
        <f>SUM(U137:Z137)</f>
        <v/>
      </c>
      <c r="AE137" s="5">
        <f>IFERROR(AD137/D137,0)</f>
        <v/>
      </c>
      <c r="AF137" s="5">
        <f>MAX(0,1-R137)</f>
        <v/>
      </c>
      <c r="AG137" s="5">
        <f>IFERROR((H137+I137)*R137*(1+0.10*(3-'WEEKLY INPUT'!R137)),"")</f>
        <v/>
      </c>
      <c r="AH137" s="5">
        <f>IFERROR(AG137/SUMPRODUCT($AG$6:$AG$205),"")</f>
        <v/>
      </c>
      <c r="AI137" s="5">
        <f>IFERROR(AD137*(1-AF137*0.5)*(1+0.15*AE137),0)</f>
        <v/>
      </c>
      <c r="AJ137" s="5">
        <f>IF(A137="","",RANK(AI137,$AI$6:$AI$205,0))</f>
        <v/>
      </c>
      <c r="AK137" s="5">
        <f>IFERROR('WEEKLY INPUT'!Z137,"")</f>
        <v/>
      </c>
    </row>
    <row r="138">
      <c r="A138" s="5">
        <f>IFERROR('WEEKLY INPUT'!A138,"")</f>
        <v/>
      </c>
      <c r="B138" s="5">
        <f>IFERROR('WEEKLY INPUT'!B138,"")</f>
        <v/>
      </c>
      <c r="C138" s="5">
        <f>IFERROR('WEEKLY INPUT'!C138,"")</f>
        <v/>
      </c>
      <c r="D138" s="5">
        <f>IFERROR('WEEKLY INPUT'!D138,0)</f>
        <v/>
      </c>
      <c r="E138" s="5">
        <f>IFERROR('WEEKLY INPUT'!E138,0)</f>
        <v/>
      </c>
      <c r="F138" s="5">
        <f>IFERROR('WEEKLY INPUT'!F138,0)</f>
        <v/>
      </c>
      <c r="G138" s="5">
        <f>IFERROR('WEEKLY INPUT'!Q138,0)</f>
        <v/>
      </c>
      <c r="H138" s="5">
        <f>IFERROR('WEEKLY INPUT'!H138/'WEEKLY INPUT'!F138*90,0)</f>
        <v/>
      </c>
      <c r="I138" s="5">
        <f>IFERROR('WEEKLY INPUT'!I138/'WEEKLY INPUT'!F138*90,0)</f>
        <v/>
      </c>
      <c r="J138" s="5">
        <f>H138+I138</f>
        <v/>
      </c>
      <c r="K138" s="5">
        <f>IFERROR('WEEKLY INPUT'!J138/'WEEKLY INPUT'!F138*90,0)</f>
        <v/>
      </c>
      <c r="L138" s="5">
        <f>IFERROR('WEEKLY INPUT'!K138/'WEEKLY INPUT'!F138*90,0)</f>
        <v/>
      </c>
      <c r="M138" s="5">
        <f>IFERROR('WEEKLY INPUT'!L138/'WEEKLY INPUT'!F138*90,0)</f>
        <v/>
      </c>
      <c r="N138" s="5">
        <f>IFERROR('WEEKLY INPUT'!M138/'WEEKLY INPUT'!F138*90,0)</f>
        <v/>
      </c>
      <c r="O138" s="5">
        <f>IFERROR('WEEKLY INPUT'!N138/'WEEKLY INPUT'!F138*90,0)</f>
        <v/>
      </c>
      <c r="P138" s="5">
        <f>IFERROR('WEEKLY INPUT'!O138/'WEEKLY INPUT'!F138*90,0)</f>
        <v/>
      </c>
      <c r="Q138" s="5">
        <f>IFERROR(('WEEKLY INPUT'!J138*2+'WEEKLY INPUT'!K138*1+'WEEKLY INPUT'!O138*0.2)/'WEEKLY INPUT'!F138,0)</f>
        <v/>
      </c>
      <c r="R138" s="5">
        <f>MAX(0.25,MIN(1.15,(F138/540)*0.5+G138*0.5))</f>
        <v/>
      </c>
      <c r="S138" s="5">
        <f>MAX(0.70,MIN(1.10,0.85+0.15*G138))</f>
        <v/>
      </c>
      <c r="T138" s="5">
        <f>IF(A138="","",2*('WEEKLY INPUT'!P138/90)+(H138*5+I138*3)*('WEEKLY INPUT'!P138/90)+(P138*0.15)*('WEEKLY INPUT'!P138/90)+Q138*0.25)</f>
        <v/>
      </c>
      <c r="U138" s="5">
        <f>IF($A138="","",$T138*(1+($3-'WEEKLY INPUT'!R138)*0.10)*$R138*$S138*1.0)</f>
        <v/>
      </c>
      <c r="V138" s="5">
        <f>IF($A138="","",$T138*(1+($3-'WEEKLY INPUT'!S138)*0.10)*$R138*$S138*0.975)</f>
        <v/>
      </c>
      <c r="W138" s="5">
        <f>IF($A138="","",$T138*(1+($3-'WEEKLY INPUT'!T138)*0.10)*$R138*$S138*0.95)</f>
        <v/>
      </c>
      <c r="X138" s="5">
        <f>IF($A138="","",$T138*(1+($3-'WEEKLY INPUT'!U138)*0.10)*$R138*$S138*0.925)</f>
        <v/>
      </c>
      <c r="Y138" s="5">
        <f>IF($A138="","",$T138*(1+($3-'WEEKLY INPUT'!V138)*0.10)*$R138*$S138*0.9)</f>
        <v/>
      </c>
      <c r="Z138" s="5">
        <f>IF($A138="","",$T138*(1+($3-'WEEKLY INPUT'!W138)*0.10)*$R138*$S138*0.875)</f>
        <v/>
      </c>
      <c r="AA138" s="5">
        <f>IF($A138="","",$T138*(1+($3-'WEEKLY INPUT'!X138)*0.10)*$R138*$S138*0.85)</f>
        <v/>
      </c>
      <c r="AB138" s="5">
        <f>IF($A138="","",$T138*(1+($3-'WEEKLY INPUT'!Y138)*0.10)*$R138*$S138*0.825)</f>
        <v/>
      </c>
      <c r="AC138" s="5">
        <f>SUM(U138:AB138)</f>
        <v/>
      </c>
      <c r="AD138" s="5">
        <f>SUM(U138:Z138)</f>
        <v/>
      </c>
      <c r="AE138" s="5">
        <f>IFERROR(AD138/D138,0)</f>
        <v/>
      </c>
      <c r="AF138" s="5">
        <f>MAX(0,1-R138)</f>
        <v/>
      </c>
      <c r="AG138" s="5">
        <f>IFERROR((H138+I138)*R138*(1+0.10*(3-'WEEKLY INPUT'!R138)),"")</f>
        <v/>
      </c>
      <c r="AH138" s="5">
        <f>IFERROR(AG138/SUMPRODUCT($AG$6:$AG$205),"")</f>
        <v/>
      </c>
      <c r="AI138" s="5">
        <f>IFERROR(AD138*(1-AF138*0.5)*(1+0.15*AE138),0)</f>
        <v/>
      </c>
      <c r="AJ138" s="5">
        <f>IF(A138="","",RANK(AI138,$AI$6:$AI$205,0))</f>
        <v/>
      </c>
      <c r="AK138" s="5">
        <f>IFERROR('WEEKLY INPUT'!Z138,"")</f>
        <v/>
      </c>
    </row>
    <row r="139">
      <c r="A139" s="5">
        <f>IFERROR('WEEKLY INPUT'!A139,"")</f>
        <v/>
      </c>
      <c r="B139" s="5">
        <f>IFERROR('WEEKLY INPUT'!B139,"")</f>
        <v/>
      </c>
      <c r="C139" s="5">
        <f>IFERROR('WEEKLY INPUT'!C139,"")</f>
        <v/>
      </c>
      <c r="D139" s="5">
        <f>IFERROR('WEEKLY INPUT'!D139,0)</f>
        <v/>
      </c>
      <c r="E139" s="5">
        <f>IFERROR('WEEKLY INPUT'!E139,0)</f>
        <v/>
      </c>
      <c r="F139" s="5">
        <f>IFERROR('WEEKLY INPUT'!F139,0)</f>
        <v/>
      </c>
      <c r="G139" s="5">
        <f>IFERROR('WEEKLY INPUT'!Q139,0)</f>
        <v/>
      </c>
      <c r="H139" s="5">
        <f>IFERROR('WEEKLY INPUT'!H139/'WEEKLY INPUT'!F139*90,0)</f>
        <v/>
      </c>
      <c r="I139" s="5">
        <f>IFERROR('WEEKLY INPUT'!I139/'WEEKLY INPUT'!F139*90,0)</f>
        <v/>
      </c>
      <c r="J139" s="5">
        <f>H139+I139</f>
        <v/>
      </c>
      <c r="K139" s="5">
        <f>IFERROR('WEEKLY INPUT'!J139/'WEEKLY INPUT'!F139*90,0)</f>
        <v/>
      </c>
      <c r="L139" s="5">
        <f>IFERROR('WEEKLY INPUT'!K139/'WEEKLY INPUT'!F139*90,0)</f>
        <v/>
      </c>
      <c r="M139" s="5">
        <f>IFERROR('WEEKLY INPUT'!L139/'WEEKLY INPUT'!F139*90,0)</f>
        <v/>
      </c>
      <c r="N139" s="5">
        <f>IFERROR('WEEKLY INPUT'!M139/'WEEKLY INPUT'!F139*90,0)</f>
        <v/>
      </c>
      <c r="O139" s="5">
        <f>IFERROR('WEEKLY INPUT'!N139/'WEEKLY INPUT'!F139*90,0)</f>
        <v/>
      </c>
      <c r="P139" s="5">
        <f>IFERROR('WEEKLY INPUT'!O139/'WEEKLY INPUT'!F139*90,0)</f>
        <v/>
      </c>
      <c r="Q139" s="5">
        <f>IFERROR(('WEEKLY INPUT'!J139*2+'WEEKLY INPUT'!K139*1+'WEEKLY INPUT'!O139*0.2)/'WEEKLY INPUT'!F139,0)</f>
        <v/>
      </c>
      <c r="R139" s="5">
        <f>MAX(0.25,MIN(1.15,(F139/540)*0.5+G139*0.5))</f>
        <v/>
      </c>
      <c r="S139" s="5">
        <f>MAX(0.70,MIN(1.10,0.85+0.15*G139))</f>
        <v/>
      </c>
      <c r="T139" s="5">
        <f>IF(A139="","",2*('WEEKLY INPUT'!P139/90)+(H139*5+I139*3)*('WEEKLY INPUT'!P139/90)+(P139*0.15)*('WEEKLY INPUT'!P139/90)+Q139*0.25)</f>
        <v/>
      </c>
      <c r="U139" s="5">
        <f>IF($A139="","",$T139*(1+($3-'WEEKLY INPUT'!R139)*0.10)*$R139*$S139*1.0)</f>
        <v/>
      </c>
      <c r="V139" s="5">
        <f>IF($A139="","",$T139*(1+($3-'WEEKLY INPUT'!S139)*0.10)*$R139*$S139*0.975)</f>
        <v/>
      </c>
      <c r="W139" s="5">
        <f>IF($A139="","",$T139*(1+($3-'WEEKLY INPUT'!T139)*0.10)*$R139*$S139*0.95)</f>
        <v/>
      </c>
      <c r="X139" s="5">
        <f>IF($A139="","",$T139*(1+($3-'WEEKLY INPUT'!U139)*0.10)*$R139*$S139*0.925)</f>
        <v/>
      </c>
      <c r="Y139" s="5">
        <f>IF($A139="","",$T139*(1+($3-'WEEKLY INPUT'!V139)*0.10)*$R139*$S139*0.9)</f>
        <v/>
      </c>
      <c r="Z139" s="5">
        <f>IF($A139="","",$T139*(1+($3-'WEEKLY INPUT'!W139)*0.10)*$R139*$S139*0.875)</f>
        <v/>
      </c>
      <c r="AA139" s="5">
        <f>IF($A139="","",$T139*(1+($3-'WEEKLY INPUT'!X139)*0.10)*$R139*$S139*0.85)</f>
        <v/>
      </c>
      <c r="AB139" s="5">
        <f>IF($A139="","",$T139*(1+($3-'WEEKLY INPUT'!Y139)*0.10)*$R139*$S139*0.825)</f>
        <v/>
      </c>
      <c r="AC139" s="5">
        <f>SUM(U139:AB139)</f>
        <v/>
      </c>
      <c r="AD139" s="5">
        <f>SUM(U139:Z139)</f>
        <v/>
      </c>
      <c r="AE139" s="5">
        <f>IFERROR(AD139/D139,0)</f>
        <v/>
      </c>
      <c r="AF139" s="5">
        <f>MAX(0,1-R139)</f>
        <v/>
      </c>
      <c r="AG139" s="5">
        <f>IFERROR((H139+I139)*R139*(1+0.10*(3-'WEEKLY INPUT'!R139)),"")</f>
        <v/>
      </c>
      <c r="AH139" s="5">
        <f>IFERROR(AG139/SUMPRODUCT($AG$6:$AG$205),"")</f>
        <v/>
      </c>
      <c r="AI139" s="5">
        <f>IFERROR(AD139*(1-AF139*0.5)*(1+0.15*AE139),0)</f>
        <v/>
      </c>
      <c r="AJ139" s="5">
        <f>IF(A139="","",RANK(AI139,$AI$6:$AI$205,0))</f>
        <v/>
      </c>
      <c r="AK139" s="5">
        <f>IFERROR('WEEKLY INPUT'!Z139,"")</f>
        <v/>
      </c>
    </row>
    <row r="140">
      <c r="A140" s="5">
        <f>IFERROR('WEEKLY INPUT'!A140,"")</f>
        <v/>
      </c>
      <c r="B140" s="5">
        <f>IFERROR('WEEKLY INPUT'!B140,"")</f>
        <v/>
      </c>
      <c r="C140" s="5">
        <f>IFERROR('WEEKLY INPUT'!C140,"")</f>
        <v/>
      </c>
      <c r="D140" s="5">
        <f>IFERROR('WEEKLY INPUT'!D140,0)</f>
        <v/>
      </c>
      <c r="E140" s="5">
        <f>IFERROR('WEEKLY INPUT'!E140,0)</f>
        <v/>
      </c>
      <c r="F140" s="5">
        <f>IFERROR('WEEKLY INPUT'!F140,0)</f>
        <v/>
      </c>
      <c r="G140" s="5">
        <f>IFERROR('WEEKLY INPUT'!Q140,0)</f>
        <v/>
      </c>
      <c r="H140" s="5">
        <f>IFERROR('WEEKLY INPUT'!H140/'WEEKLY INPUT'!F140*90,0)</f>
        <v/>
      </c>
      <c r="I140" s="5">
        <f>IFERROR('WEEKLY INPUT'!I140/'WEEKLY INPUT'!F140*90,0)</f>
        <v/>
      </c>
      <c r="J140" s="5">
        <f>H140+I140</f>
        <v/>
      </c>
      <c r="K140" s="5">
        <f>IFERROR('WEEKLY INPUT'!J140/'WEEKLY INPUT'!F140*90,0)</f>
        <v/>
      </c>
      <c r="L140" s="5">
        <f>IFERROR('WEEKLY INPUT'!K140/'WEEKLY INPUT'!F140*90,0)</f>
        <v/>
      </c>
      <c r="M140" s="5">
        <f>IFERROR('WEEKLY INPUT'!L140/'WEEKLY INPUT'!F140*90,0)</f>
        <v/>
      </c>
      <c r="N140" s="5">
        <f>IFERROR('WEEKLY INPUT'!M140/'WEEKLY INPUT'!F140*90,0)</f>
        <v/>
      </c>
      <c r="O140" s="5">
        <f>IFERROR('WEEKLY INPUT'!N140/'WEEKLY INPUT'!F140*90,0)</f>
        <v/>
      </c>
      <c r="P140" s="5">
        <f>IFERROR('WEEKLY INPUT'!O140/'WEEKLY INPUT'!F140*90,0)</f>
        <v/>
      </c>
      <c r="Q140" s="5">
        <f>IFERROR(('WEEKLY INPUT'!J140*2+'WEEKLY INPUT'!K140*1+'WEEKLY INPUT'!O140*0.2)/'WEEKLY INPUT'!F140,0)</f>
        <v/>
      </c>
      <c r="R140" s="5">
        <f>MAX(0.25,MIN(1.15,(F140/540)*0.5+G140*0.5))</f>
        <v/>
      </c>
      <c r="S140" s="5">
        <f>MAX(0.70,MIN(1.10,0.85+0.15*G140))</f>
        <v/>
      </c>
      <c r="T140" s="5">
        <f>IF(A140="","",2*('WEEKLY INPUT'!P140/90)+(H140*5+I140*3)*('WEEKLY INPUT'!P140/90)+(P140*0.15)*('WEEKLY INPUT'!P140/90)+Q140*0.25)</f>
        <v/>
      </c>
      <c r="U140" s="5">
        <f>IF($A140="","",$T140*(1+($3-'WEEKLY INPUT'!R140)*0.10)*$R140*$S140*1.0)</f>
        <v/>
      </c>
      <c r="V140" s="5">
        <f>IF($A140="","",$T140*(1+($3-'WEEKLY INPUT'!S140)*0.10)*$R140*$S140*0.975)</f>
        <v/>
      </c>
      <c r="W140" s="5">
        <f>IF($A140="","",$T140*(1+($3-'WEEKLY INPUT'!T140)*0.10)*$R140*$S140*0.95)</f>
        <v/>
      </c>
      <c r="X140" s="5">
        <f>IF($A140="","",$T140*(1+($3-'WEEKLY INPUT'!U140)*0.10)*$R140*$S140*0.925)</f>
        <v/>
      </c>
      <c r="Y140" s="5">
        <f>IF($A140="","",$T140*(1+($3-'WEEKLY INPUT'!V140)*0.10)*$R140*$S140*0.9)</f>
        <v/>
      </c>
      <c r="Z140" s="5">
        <f>IF($A140="","",$T140*(1+($3-'WEEKLY INPUT'!W140)*0.10)*$R140*$S140*0.875)</f>
        <v/>
      </c>
      <c r="AA140" s="5">
        <f>IF($A140="","",$T140*(1+($3-'WEEKLY INPUT'!X140)*0.10)*$R140*$S140*0.85)</f>
        <v/>
      </c>
      <c r="AB140" s="5">
        <f>IF($A140="","",$T140*(1+($3-'WEEKLY INPUT'!Y140)*0.10)*$R140*$S140*0.825)</f>
        <v/>
      </c>
      <c r="AC140" s="5">
        <f>SUM(U140:AB140)</f>
        <v/>
      </c>
      <c r="AD140" s="5">
        <f>SUM(U140:Z140)</f>
        <v/>
      </c>
      <c r="AE140" s="5">
        <f>IFERROR(AD140/D140,0)</f>
        <v/>
      </c>
      <c r="AF140" s="5">
        <f>MAX(0,1-R140)</f>
        <v/>
      </c>
      <c r="AG140" s="5">
        <f>IFERROR((H140+I140)*R140*(1+0.10*(3-'WEEKLY INPUT'!R140)),"")</f>
        <v/>
      </c>
      <c r="AH140" s="5">
        <f>IFERROR(AG140/SUMPRODUCT($AG$6:$AG$205),"")</f>
        <v/>
      </c>
      <c r="AI140" s="5">
        <f>IFERROR(AD140*(1-AF140*0.5)*(1+0.15*AE140),0)</f>
        <v/>
      </c>
      <c r="AJ140" s="5">
        <f>IF(A140="","",RANK(AI140,$AI$6:$AI$205,0))</f>
        <v/>
      </c>
      <c r="AK140" s="5">
        <f>IFERROR('WEEKLY INPUT'!Z140,"")</f>
        <v/>
      </c>
    </row>
    <row r="141">
      <c r="A141" s="5">
        <f>IFERROR('WEEKLY INPUT'!A141,"")</f>
        <v/>
      </c>
      <c r="B141" s="5">
        <f>IFERROR('WEEKLY INPUT'!B141,"")</f>
        <v/>
      </c>
      <c r="C141" s="5">
        <f>IFERROR('WEEKLY INPUT'!C141,"")</f>
        <v/>
      </c>
      <c r="D141" s="5">
        <f>IFERROR('WEEKLY INPUT'!D141,0)</f>
        <v/>
      </c>
      <c r="E141" s="5">
        <f>IFERROR('WEEKLY INPUT'!E141,0)</f>
        <v/>
      </c>
      <c r="F141" s="5">
        <f>IFERROR('WEEKLY INPUT'!F141,0)</f>
        <v/>
      </c>
      <c r="G141" s="5">
        <f>IFERROR('WEEKLY INPUT'!Q141,0)</f>
        <v/>
      </c>
      <c r="H141" s="5">
        <f>IFERROR('WEEKLY INPUT'!H141/'WEEKLY INPUT'!F141*90,0)</f>
        <v/>
      </c>
      <c r="I141" s="5">
        <f>IFERROR('WEEKLY INPUT'!I141/'WEEKLY INPUT'!F141*90,0)</f>
        <v/>
      </c>
      <c r="J141" s="5">
        <f>H141+I141</f>
        <v/>
      </c>
      <c r="K141" s="5">
        <f>IFERROR('WEEKLY INPUT'!J141/'WEEKLY INPUT'!F141*90,0)</f>
        <v/>
      </c>
      <c r="L141" s="5">
        <f>IFERROR('WEEKLY INPUT'!K141/'WEEKLY INPUT'!F141*90,0)</f>
        <v/>
      </c>
      <c r="M141" s="5">
        <f>IFERROR('WEEKLY INPUT'!L141/'WEEKLY INPUT'!F141*90,0)</f>
        <v/>
      </c>
      <c r="N141" s="5">
        <f>IFERROR('WEEKLY INPUT'!M141/'WEEKLY INPUT'!F141*90,0)</f>
        <v/>
      </c>
      <c r="O141" s="5">
        <f>IFERROR('WEEKLY INPUT'!N141/'WEEKLY INPUT'!F141*90,0)</f>
        <v/>
      </c>
      <c r="P141" s="5">
        <f>IFERROR('WEEKLY INPUT'!O141/'WEEKLY INPUT'!F141*90,0)</f>
        <v/>
      </c>
      <c r="Q141" s="5">
        <f>IFERROR(('WEEKLY INPUT'!J141*2+'WEEKLY INPUT'!K141*1+'WEEKLY INPUT'!O141*0.2)/'WEEKLY INPUT'!F141,0)</f>
        <v/>
      </c>
      <c r="R141" s="5">
        <f>MAX(0.25,MIN(1.15,(F141/540)*0.5+G141*0.5))</f>
        <v/>
      </c>
      <c r="S141" s="5">
        <f>MAX(0.70,MIN(1.10,0.85+0.15*G141))</f>
        <v/>
      </c>
      <c r="T141" s="5">
        <f>IF(A141="","",2*('WEEKLY INPUT'!P141/90)+(H141*5+I141*3)*('WEEKLY INPUT'!P141/90)+(P141*0.15)*('WEEKLY INPUT'!P141/90)+Q141*0.25)</f>
        <v/>
      </c>
      <c r="U141" s="5">
        <f>IF($A141="","",$T141*(1+($3-'WEEKLY INPUT'!R141)*0.10)*$R141*$S141*1.0)</f>
        <v/>
      </c>
      <c r="V141" s="5">
        <f>IF($A141="","",$T141*(1+($3-'WEEKLY INPUT'!S141)*0.10)*$R141*$S141*0.975)</f>
        <v/>
      </c>
      <c r="W141" s="5">
        <f>IF($A141="","",$T141*(1+($3-'WEEKLY INPUT'!T141)*0.10)*$R141*$S141*0.95)</f>
        <v/>
      </c>
      <c r="X141" s="5">
        <f>IF($A141="","",$T141*(1+($3-'WEEKLY INPUT'!U141)*0.10)*$R141*$S141*0.925)</f>
        <v/>
      </c>
      <c r="Y141" s="5">
        <f>IF($A141="","",$T141*(1+($3-'WEEKLY INPUT'!V141)*0.10)*$R141*$S141*0.9)</f>
        <v/>
      </c>
      <c r="Z141" s="5">
        <f>IF($A141="","",$T141*(1+($3-'WEEKLY INPUT'!W141)*0.10)*$R141*$S141*0.875)</f>
        <v/>
      </c>
      <c r="AA141" s="5">
        <f>IF($A141="","",$T141*(1+($3-'WEEKLY INPUT'!X141)*0.10)*$R141*$S141*0.85)</f>
        <v/>
      </c>
      <c r="AB141" s="5">
        <f>IF($A141="","",$T141*(1+($3-'WEEKLY INPUT'!Y141)*0.10)*$R141*$S141*0.825)</f>
        <v/>
      </c>
      <c r="AC141" s="5">
        <f>SUM(U141:AB141)</f>
        <v/>
      </c>
      <c r="AD141" s="5">
        <f>SUM(U141:Z141)</f>
        <v/>
      </c>
      <c r="AE141" s="5">
        <f>IFERROR(AD141/D141,0)</f>
        <v/>
      </c>
      <c r="AF141" s="5">
        <f>MAX(0,1-R141)</f>
        <v/>
      </c>
      <c r="AG141" s="5">
        <f>IFERROR((H141+I141)*R141*(1+0.10*(3-'WEEKLY INPUT'!R141)),"")</f>
        <v/>
      </c>
      <c r="AH141" s="5">
        <f>IFERROR(AG141/SUMPRODUCT($AG$6:$AG$205),"")</f>
        <v/>
      </c>
      <c r="AI141" s="5">
        <f>IFERROR(AD141*(1-AF141*0.5)*(1+0.15*AE141),0)</f>
        <v/>
      </c>
      <c r="AJ141" s="5">
        <f>IF(A141="","",RANK(AI141,$AI$6:$AI$205,0))</f>
        <v/>
      </c>
      <c r="AK141" s="5">
        <f>IFERROR('WEEKLY INPUT'!Z141,"")</f>
        <v/>
      </c>
    </row>
    <row r="142">
      <c r="A142" s="5">
        <f>IFERROR('WEEKLY INPUT'!A142,"")</f>
        <v/>
      </c>
      <c r="B142" s="5">
        <f>IFERROR('WEEKLY INPUT'!B142,"")</f>
        <v/>
      </c>
      <c r="C142" s="5">
        <f>IFERROR('WEEKLY INPUT'!C142,"")</f>
        <v/>
      </c>
      <c r="D142" s="5">
        <f>IFERROR('WEEKLY INPUT'!D142,0)</f>
        <v/>
      </c>
      <c r="E142" s="5">
        <f>IFERROR('WEEKLY INPUT'!E142,0)</f>
        <v/>
      </c>
      <c r="F142" s="5">
        <f>IFERROR('WEEKLY INPUT'!F142,0)</f>
        <v/>
      </c>
      <c r="G142" s="5">
        <f>IFERROR('WEEKLY INPUT'!Q142,0)</f>
        <v/>
      </c>
      <c r="H142" s="5">
        <f>IFERROR('WEEKLY INPUT'!H142/'WEEKLY INPUT'!F142*90,0)</f>
        <v/>
      </c>
      <c r="I142" s="5">
        <f>IFERROR('WEEKLY INPUT'!I142/'WEEKLY INPUT'!F142*90,0)</f>
        <v/>
      </c>
      <c r="J142" s="5">
        <f>H142+I142</f>
        <v/>
      </c>
      <c r="K142" s="5">
        <f>IFERROR('WEEKLY INPUT'!J142/'WEEKLY INPUT'!F142*90,0)</f>
        <v/>
      </c>
      <c r="L142" s="5">
        <f>IFERROR('WEEKLY INPUT'!K142/'WEEKLY INPUT'!F142*90,0)</f>
        <v/>
      </c>
      <c r="M142" s="5">
        <f>IFERROR('WEEKLY INPUT'!L142/'WEEKLY INPUT'!F142*90,0)</f>
        <v/>
      </c>
      <c r="N142" s="5">
        <f>IFERROR('WEEKLY INPUT'!M142/'WEEKLY INPUT'!F142*90,0)</f>
        <v/>
      </c>
      <c r="O142" s="5">
        <f>IFERROR('WEEKLY INPUT'!N142/'WEEKLY INPUT'!F142*90,0)</f>
        <v/>
      </c>
      <c r="P142" s="5">
        <f>IFERROR('WEEKLY INPUT'!O142/'WEEKLY INPUT'!F142*90,0)</f>
        <v/>
      </c>
      <c r="Q142" s="5">
        <f>IFERROR(('WEEKLY INPUT'!J142*2+'WEEKLY INPUT'!K142*1+'WEEKLY INPUT'!O142*0.2)/'WEEKLY INPUT'!F142,0)</f>
        <v/>
      </c>
      <c r="R142" s="5">
        <f>MAX(0.25,MIN(1.15,(F142/540)*0.5+G142*0.5))</f>
        <v/>
      </c>
      <c r="S142" s="5">
        <f>MAX(0.70,MIN(1.10,0.85+0.15*G142))</f>
        <v/>
      </c>
      <c r="T142" s="5">
        <f>IF(A142="","",2*('WEEKLY INPUT'!P142/90)+(H142*5+I142*3)*('WEEKLY INPUT'!P142/90)+(P142*0.15)*('WEEKLY INPUT'!P142/90)+Q142*0.25)</f>
        <v/>
      </c>
      <c r="U142" s="5">
        <f>IF($A142="","",$T142*(1+($3-'WEEKLY INPUT'!R142)*0.10)*$R142*$S142*1.0)</f>
        <v/>
      </c>
      <c r="V142" s="5">
        <f>IF($A142="","",$T142*(1+($3-'WEEKLY INPUT'!S142)*0.10)*$R142*$S142*0.975)</f>
        <v/>
      </c>
      <c r="W142" s="5">
        <f>IF($A142="","",$T142*(1+($3-'WEEKLY INPUT'!T142)*0.10)*$R142*$S142*0.95)</f>
        <v/>
      </c>
      <c r="X142" s="5">
        <f>IF($A142="","",$T142*(1+($3-'WEEKLY INPUT'!U142)*0.10)*$R142*$S142*0.925)</f>
        <v/>
      </c>
      <c r="Y142" s="5">
        <f>IF($A142="","",$T142*(1+($3-'WEEKLY INPUT'!V142)*0.10)*$R142*$S142*0.9)</f>
        <v/>
      </c>
      <c r="Z142" s="5">
        <f>IF($A142="","",$T142*(1+($3-'WEEKLY INPUT'!W142)*0.10)*$R142*$S142*0.875)</f>
        <v/>
      </c>
      <c r="AA142" s="5">
        <f>IF($A142="","",$T142*(1+($3-'WEEKLY INPUT'!X142)*0.10)*$R142*$S142*0.85)</f>
        <v/>
      </c>
      <c r="AB142" s="5">
        <f>IF($A142="","",$T142*(1+($3-'WEEKLY INPUT'!Y142)*0.10)*$R142*$S142*0.825)</f>
        <v/>
      </c>
      <c r="AC142" s="5">
        <f>SUM(U142:AB142)</f>
        <v/>
      </c>
      <c r="AD142" s="5">
        <f>SUM(U142:Z142)</f>
        <v/>
      </c>
      <c r="AE142" s="5">
        <f>IFERROR(AD142/D142,0)</f>
        <v/>
      </c>
      <c r="AF142" s="5">
        <f>MAX(0,1-R142)</f>
        <v/>
      </c>
      <c r="AG142" s="5">
        <f>IFERROR((H142+I142)*R142*(1+0.10*(3-'WEEKLY INPUT'!R142)),"")</f>
        <v/>
      </c>
      <c r="AH142" s="5">
        <f>IFERROR(AG142/SUMPRODUCT($AG$6:$AG$205),"")</f>
        <v/>
      </c>
      <c r="AI142" s="5">
        <f>IFERROR(AD142*(1-AF142*0.5)*(1+0.15*AE142),0)</f>
        <v/>
      </c>
      <c r="AJ142" s="5">
        <f>IF(A142="","",RANK(AI142,$AI$6:$AI$205,0))</f>
        <v/>
      </c>
      <c r="AK142" s="5">
        <f>IFERROR('WEEKLY INPUT'!Z142,"")</f>
        <v/>
      </c>
    </row>
    <row r="143">
      <c r="A143" s="5">
        <f>IFERROR('WEEKLY INPUT'!A143,"")</f>
        <v/>
      </c>
      <c r="B143" s="5">
        <f>IFERROR('WEEKLY INPUT'!B143,"")</f>
        <v/>
      </c>
      <c r="C143" s="5">
        <f>IFERROR('WEEKLY INPUT'!C143,"")</f>
        <v/>
      </c>
      <c r="D143" s="5">
        <f>IFERROR('WEEKLY INPUT'!D143,0)</f>
        <v/>
      </c>
      <c r="E143" s="5">
        <f>IFERROR('WEEKLY INPUT'!E143,0)</f>
        <v/>
      </c>
      <c r="F143" s="5">
        <f>IFERROR('WEEKLY INPUT'!F143,0)</f>
        <v/>
      </c>
      <c r="G143" s="5">
        <f>IFERROR('WEEKLY INPUT'!Q143,0)</f>
        <v/>
      </c>
      <c r="H143" s="5">
        <f>IFERROR('WEEKLY INPUT'!H143/'WEEKLY INPUT'!F143*90,0)</f>
        <v/>
      </c>
      <c r="I143" s="5">
        <f>IFERROR('WEEKLY INPUT'!I143/'WEEKLY INPUT'!F143*90,0)</f>
        <v/>
      </c>
      <c r="J143" s="5">
        <f>H143+I143</f>
        <v/>
      </c>
      <c r="K143" s="5">
        <f>IFERROR('WEEKLY INPUT'!J143/'WEEKLY INPUT'!F143*90,0)</f>
        <v/>
      </c>
      <c r="L143" s="5">
        <f>IFERROR('WEEKLY INPUT'!K143/'WEEKLY INPUT'!F143*90,0)</f>
        <v/>
      </c>
      <c r="M143" s="5">
        <f>IFERROR('WEEKLY INPUT'!L143/'WEEKLY INPUT'!F143*90,0)</f>
        <v/>
      </c>
      <c r="N143" s="5">
        <f>IFERROR('WEEKLY INPUT'!M143/'WEEKLY INPUT'!F143*90,0)</f>
        <v/>
      </c>
      <c r="O143" s="5">
        <f>IFERROR('WEEKLY INPUT'!N143/'WEEKLY INPUT'!F143*90,0)</f>
        <v/>
      </c>
      <c r="P143" s="5">
        <f>IFERROR('WEEKLY INPUT'!O143/'WEEKLY INPUT'!F143*90,0)</f>
        <v/>
      </c>
      <c r="Q143" s="5">
        <f>IFERROR(('WEEKLY INPUT'!J143*2+'WEEKLY INPUT'!K143*1+'WEEKLY INPUT'!O143*0.2)/'WEEKLY INPUT'!F143,0)</f>
        <v/>
      </c>
      <c r="R143" s="5">
        <f>MAX(0.25,MIN(1.15,(F143/540)*0.5+G143*0.5))</f>
        <v/>
      </c>
      <c r="S143" s="5">
        <f>MAX(0.70,MIN(1.10,0.85+0.15*G143))</f>
        <v/>
      </c>
      <c r="T143" s="5">
        <f>IF(A143="","",2*('WEEKLY INPUT'!P143/90)+(H143*5+I143*3)*('WEEKLY INPUT'!P143/90)+(P143*0.15)*('WEEKLY INPUT'!P143/90)+Q143*0.25)</f>
        <v/>
      </c>
      <c r="U143" s="5">
        <f>IF($A143="","",$T143*(1+($3-'WEEKLY INPUT'!R143)*0.10)*$R143*$S143*1.0)</f>
        <v/>
      </c>
      <c r="V143" s="5">
        <f>IF($A143="","",$T143*(1+($3-'WEEKLY INPUT'!S143)*0.10)*$R143*$S143*0.975)</f>
        <v/>
      </c>
      <c r="W143" s="5">
        <f>IF($A143="","",$T143*(1+($3-'WEEKLY INPUT'!T143)*0.10)*$R143*$S143*0.95)</f>
        <v/>
      </c>
      <c r="X143" s="5">
        <f>IF($A143="","",$T143*(1+($3-'WEEKLY INPUT'!U143)*0.10)*$R143*$S143*0.925)</f>
        <v/>
      </c>
      <c r="Y143" s="5">
        <f>IF($A143="","",$T143*(1+($3-'WEEKLY INPUT'!V143)*0.10)*$R143*$S143*0.9)</f>
        <v/>
      </c>
      <c r="Z143" s="5">
        <f>IF($A143="","",$T143*(1+($3-'WEEKLY INPUT'!W143)*0.10)*$R143*$S143*0.875)</f>
        <v/>
      </c>
      <c r="AA143" s="5">
        <f>IF($A143="","",$T143*(1+($3-'WEEKLY INPUT'!X143)*0.10)*$R143*$S143*0.85)</f>
        <v/>
      </c>
      <c r="AB143" s="5">
        <f>IF($A143="","",$T143*(1+($3-'WEEKLY INPUT'!Y143)*0.10)*$R143*$S143*0.825)</f>
        <v/>
      </c>
      <c r="AC143" s="5">
        <f>SUM(U143:AB143)</f>
        <v/>
      </c>
      <c r="AD143" s="5">
        <f>SUM(U143:Z143)</f>
        <v/>
      </c>
      <c r="AE143" s="5">
        <f>IFERROR(AD143/D143,0)</f>
        <v/>
      </c>
      <c r="AF143" s="5">
        <f>MAX(0,1-R143)</f>
        <v/>
      </c>
      <c r="AG143" s="5">
        <f>IFERROR((H143+I143)*R143*(1+0.10*(3-'WEEKLY INPUT'!R143)),"")</f>
        <v/>
      </c>
      <c r="AH143" s="5">
        <f>IFERROR(AG143/SUMPRODUCT($AG$6:$AG$205),"")</f>
        <v/>
      </c>
      <c r="AI143" s="5">
        <f>IFERROR(AD143*(1-AF143*0.5)*(1+0.15*AE143),0)</f>
        <v/>
      </c>
      <c r="AJ143" s="5">
        <f>IF(A143="","",RANK(AI143,$AI$6:$AI$205,0))</f>
        <v/>
      </c>
      <c r="AK143" s="5">
        <f>IFERROR('WEEKLY INPUT'!Z143,"")</f>
        <v/>
      </c>
    </row>
    <row r="144">
      <c r="A144" s="5">
        <f>IFERROR('WEEKLY INPUT'!A144,"")</f>
        <v/>
      </c>
      <c r="B144" s="5">
        <f>IFERROR('WEEKLY INPUT'!B144,"")</f>
        <v/>
      </c>
      <c r="C144" s="5">
        <f>IFERROR('WEEKLY INPUT'!C144,"")</f>
        <v/>
      </c>
      <c r="D144" s="5">
        <f>IFERROR('WEEKLY INPUT'!D144,0)</f>
        <v/>
      </c>
      <c r="E144" s="5">
        <f>IFERROR('WEEKLY INPUT'!E144,0)</f>
        <v/>
      </c>
      <c r="F144" s="5">
        <f>IFERROR('WEEKLY INPUT'!F144,0)</f>
        <v/>
      </c>
      <c r="G144" s="5">
        <f>IFERROR('WEEKLY INPUT'!Q144,0)</f>
        <v/>
      </c>
      <c r="H144" s="5">
        <f>IFERROR('WEEKLY INPUT'!H144/'WEEKLY INPUT'!F144*90,0)</f>
        <v/>
      </c>
      <c r="I144" s="5">
        <f>IFERROR('WEEKLY INPUT'!I144/'WEEKLY INPUT'!F144*90,0)</f>
        <v/>
      </c>
      <c r="J144" s="5">
        <f>H144+I144</f>
        <v/>
      </c>
      <c r="K144" s="5">
        <f>IFERROR('WEEKLY INPUT'!J144/'WEEKLY INPUT'!F144*90,0)</f>
        <v/>
      </c>
      <c r="L144" s="5">
        <f>IFERROR('WEEKLY INPUT'!K144/'WEEKLY INPUT'!F144*90,0)</f>
        <v/>
      </c>
      <c r="M144" s="5">
        <f>IFERROR('WEEKLY INPUT'!L144/'WEEKLY INPUT'!F144*90,0)</f>
        <v/>
      </c>
      <c r="N144" s="5">
        <f>IFERROR('WEEKLY INPUT'!M144/'WEEKLY INPUT'!F144*90,0)</f>
        <v/>
      </c>
      <c r="O144" s="5">
        <f>IFERROR('WEEKLY INPUT'!N144/'WEEKLY INPUT'!F144*90,0)</f>
        <v/>
      </c>
      <c r="P144" s="5">
        <f>IFERROR('WEEKLY INPUT'!O144/'WEEKLY INPUT'!F144*90,0)</f>
        <v/>
      </c>
      <c r="Q144" s="5">
        <f>IFERROR(('WEEKLY INPUT'!J144*2+'WEEKLY INPUT'!K144*1+'WEEKLY INPUT'!O144*0.2)/'WEEKLY INPUT'!F144,0)</f>
        <v/>
      </c>
      <c r="R144" s="5">
        <f>MAX(0.25,MIN(1.15,(F144/540)*0.5+G144*0.5))</f>
        <v/>
      </c>
      <c r="S144" s="5">
        <f>MAX(0.70,MIN(1.10,0.85+0.15*G144))</f>
        <v/>
      </c>
      <c r="T144" s="5">
        <f>IF(A144="","",2*('WEEKLY INPUT'!P144/90)+(H144*5+I144*3)*('WEEKLY INPUT'!P144/90)+(P144*0.15)*('WEEKLY INPUT'!P144/90)+Q144*0.25)</f>
        <v/>
      </c>
      <c r="U144" s="5">
        <f>IF($A144="","",$T144*(1+($3-'WEEKLY INPUT'!R144)*0.10)*$R144*$S144*1.0)</f>
        <v/>
      </c>
      <c r="V144" s="5">
        <f>IF($A144="","",$T144*(1+($3-'WEEKLY INPUT'!S144)*0.10)*$R144*$S144*0.975)</f>
        <v/>
      </c>
      <c r="W144" s="5">
        <f>IF($A144="","",$T144*(1+($3-'WEEKLY INPUT'!T144)*0.10)*$R144*$S144*0.95)</f>
        <v/>
      </c>
      <c r="X144" s="5">
        <f>IF($A144="","",$T144*(1+($3-'WEEKLY INPUT'!U144)*0.10)*$R144*$S144*0.925)</f>
        <v/>
      </c>
      <c r="Y144" s="5">
        <f>IF($A144="","",$T144*(1+($3-'WEEKLY INPUT'!V144)*0.10)*$R144*$S144*0.9)</f>
        <v/>
      </c>
      <c r="Z144" s="5">
        <f>IF($A144="","",$T144*(1+($3-'WEEKLY INPUT'!W144)*0.10)*$R144*$S144*0.875)</f>
        <v/>
      </c>
      <c r="AA144" s="5">
        <f>IF($A144="","",$T144*(1+($3-'WEEKLY INPUT'!X144)*0.10)*$R144*$S144*0.85)</f>
        <v/>
      </c>
      <c r="AB144" s="5">
        <f>IF($A144="","",$T144*(1+($3-'WEEKLY INPUT'!Y144)*0.10)*$R144*$S144*0.825)</f>
        <v/>
      </c>
      <c r="AC144" s="5">
        <f>SUM(U144:AB144)</f>
        <v/>
      </c>
      <c r="AD144" s="5">
        <f>SUM(U144:Z144)</f>
        <v/>
      </c>
      <c r="AE144" s="5">
        <f>IFERROR(AD144/D144,0)</f>
        <v/>
      </c>
      <c r="AF144" s="5">
        <f>MAX(0,1-R144)</f>
        <v/>
      </c>
      <c r="AG144" s="5">
        <f>IFERROR((H144+I144)*R144*(1+0.10*(3-'WEEKLY INPUT'!R144)),"")</f>
        <v/>
      </c>
      <c r="AH144" s="5">
        <f>IFERROR(AG144/SUMPRODUCT($AG$6:$AG$205),"")</f>
        <v/>
      </c>
      <c r="AI144" s="5">
        <f>IFERROR(AD144*(1-AF144*0.5)*(1+0.15*AE144),0)</f>
        <v/>
      </c>
      <c r="AJ144" s="5">
        <f>IF(A144="","",RANK(AI144,$AI$6:$AI$205,0))</f>
        <v/>
      </c>
      <c r="AK144" s="5">
        <f>IFERROR('WEEKLY INPUT'!Z144,"")</f>
        <v/>
      </c>
    </row>
    <row r="145">
      <c r="A145" s="5">
        <f>IFERROR('WEEKLY INPUT'!A145,"")</f>
        <v/>
      </c>
      <c r="B145" s="5">
        <f>IFERROR('WEEKLY INPUT'!B145,"")</f>
        <v/>
      </c>
      <c r="C145" s="5">
        <f>IFERROR('WEEKLY INPUT'!C145,"")</f>
        <v/>
      </c>
      <c r="D145" s="5">
        <f>IFERROR('WEEKLY INPUT'!D145,0)</f>
        <v/>
      </c>
      <c r="E145" s="5">
        <f>IFERROR('WEEKLY INPUT'!E145,0)</f>
        <v/>
      </c>
      <c r="F145" s="5">
        <f>IFERROR('WEEKLY INPUT'!F145,0)</f>
        <v/>
      </c>
      <c r="G145" s="5">
        <f>IFERROR('WEEKLY INPUT'!Q145,0)</f>
        <v/>
      </c>
      <c r="H145" s="5">
        <f>IFERROR('WEEKLY INPUT'!H145/'WEEKLY INPUT'!F145*90,0)</f>
        <v/>
      </c>
      <c r="I145" s="5">
        <f>IFERROR('WEEKLY INPUT'!I145/'WEEKLY INPUT'!F145*90,0)</f>
        <v/>
      </c>
      <c r="J145" s="5">
        <f>H145+I145</f>
        <v/>
      </c>
      <c r="K145" s="5">
        <f>IFERROR('WEEKLY INPUT'!J145/'WEEKLY INPUT'!F145*90,0)</f>
        <v/>
      </c>
      <c r="L145" s="5">
        <f>IFERROR('WEEKLY INPUT'!K145/'WEEKLY INPUT'!F145*90,0)</f>
        <v/>
      </c>
      <c r="M145" s="5">
        <f>IFERROR('WEEKLY INPUT'!L145/'WEEKLY INPUT'!F145*90,0)</f>
        <v/>
      </c>
      <c r="N145" s="5">
        <f>IFERROR('WEEKLY INPUT'!M145/'WEEKLY INPUT'!F145*90,0)</f>
        <v/>
      </c>
      <c r="O145" s="5">
        <f>IFERROR('WEEKLY INPUT'!N145/'WEEKLY INPUT'!F145*90,0)</f>
        <v/>
      </c>
      <c r="P145" s="5">
        <f>IFERROR('WEEKLY INPUT'!O145/'WEEKLY INPUT'!F145*90,0)</f>
        <v/>
      </c>
      <c r="Q145" s="5">
        <f>IFERROR(('WEEKLY INPUT'!J145*2+'WEEKLY INPUT'!K145*1+'WEEKLY INPUT'!O145*0.2)/'WEEKLY INPUT'!F145,0)</f>
        <v/>
      </c>
      <c r="R145" s="5">
        <f>MAX(0.25,MIN(1.15,(F145/540)*0.5+G145*0.5))</f>
        <v/>
      </c>
      <c r="S145" s="5">
        <f>MAX(0.70,MIN(1.10,0.85+0.15*G145))</f>
        <v/>
      </c>
      <c r="T145" s="5">
        <f>IF(A145="","",2*('WEEKLY INPUT'!P145/90)+(H145*5+I145*3)*('WEEKLY INPUT'!P145/90)+(P145*0.15)*('WEEKLY INPUT'!P145/90)+Q145*0.25)</f>
        <v/>
      </c>
      <c r="U145" s="5">
        <f>IF($A145="","",$T145*(1+($3-'WEEKLY INPUT'!R145)*0.10)*$R145*$S145*1.0)</f>
        <v/>
      </c>
      <c r="V145" s="5">
        <f>IF($A145="","",$T145*(1+($3-'WEEKLY INPUT'!S145)*0.10)*$R145*$S145*0.975)</f>
        <v/>
      </c>
      <c r="W145" s="5">
        <f>IF($A145="","",$T145*(1+($3-'WEEKLY INPUT'!T145)*0.10)*$R145*$S145*0.95)</f>
        <v/>
      </c>
      <c r="X145" s="5">
        <f>IF($A145="","",$T145*(1+($3-'WEEKLY INPUT'!U145)*0.10)*$R145*$S145*0.925)</f>
        <v/>
      </c>
      <c r="Y145" s="5">
        <f>IF($A145="","",$T145*(1+($3-'WEEKLY INPUT'!V145)*0.10)*$R145*$S145*0.9)</f>
        <v/>
      </c>
      <c r="Z145" s="5">
        <f>IF($A145="","",$T145*(1+($3-'WEEKLY INPUT'!W145)*0.10)*$R145*$S145*0.875)</f>
        <v/>
      </c>
      <c r="AA145" s="5">
        <f>IF($A145="","",$T145*(1+($3-'WEEKLY INPUT'!X145)*0.10)*$R145*$S145*0.85)</f>
        <v/>
      </c>
      <c r="AB145" s="5">
        <f>IF($A145="","",$T145*(1+($3-'WEEKLY INPUT'!Y145)*0.10)*$R145*$S145*0.825)</f>
        <v/>
      </c>
      <c r="AC145" s="5">
        <f>SUM(U145:AB145)</f>
        <v/>
      </c>
      <c r="AD145" s="5">
        <f>SUM(U145:Z145)</f>
        <v/>
      </c>
      <c r="AE145" s="5">
        <f>IFERROR(AD145/D145,0)</f>
        <v/>
      </c>
      <c r="AF145" s="5">
        <f>MAX(0,1-R145)</f>
        <v/>
      </c>
      <c r="AG145" s="5">
        <f>IFERROR((H145+I145)*R145*(1+0.10*(3-'WEEKLY INPUT'!R145)),"")</f>
        <v/>
      </c>
      <c r="AH145" s="5">
        <f>IFERROR(AG145/SUMPRODUCT($AG$6:$AG$205),"")</f>
        <v/>
      </c>
      <c r="AI145" s="5">
        <f>IFERROR(AD145*(1-AF145*0.5)*(1+0.15*AE145),0)</f>
        <v/>
      </c>
      <c r="AJ145" s="5">
        <f>IF(A145="","",RANK(AI145,$AI$6:$AI$205,0))</f>
        <v/>
      </c>
      <c r="AK145" s="5">
        <f>IFERROR('WEEKLY INPUT'!Z145,"")</f>
        <v/>
      </c>
    </row>
    <row r="146">
      <c r="A146" s="5">
        <f>IFERROR('WEEKLY INPUT'!A146,"")</f>
        <v/>
      </c>
      <c r="B146" s="5">
        <f>IFERROR('WEEKLY INPUT'!B146,"")</f>
        <v/>
      </c>
      <c r="C146" s="5">
        <f>IFERROR('WEEKLY INPUT'!C146,"")</f>
        <v/>
      </c>
      <c r="D146" s="5">
        <f>IFERROR('WEEKLY INPUT'!D146,0)</f>
        <v/>
      </c>
      <c r="E146" s="5">
        <f>IFERROR('WEEKLY INPUT'!E146,0)</f>
        <v/>
      </c>
      <c r="F146" s="5">
        <f>IFERROR('WEEKLY INPUT'!F146,0)</f>
        <v/>
      </c>
      <c r="G146" s="5">
        <f>IFERROR('WEEKLY INPUT'!Q146,0)</f>
        <v/>
      </c>
      <c r="H146" s="5">
        <f>IFERROR('WEEKLY INPUT'!H146/'WEEKLY INPUT'!F146*90,0)</f>
        <v/>
      </c>
      <c r="I146" s="5">
        <f>IFERROR('WEEKLY INPUT'!I146/'WEEKLY INPUT'!F146*90,0)</f>
        <v/>
      </c>
      <c r="J146" s="5">
        <f>H146+I146</f>
        <v/>
      </c>
      <c r="K146" s="5">
        <f>IFERROR('WEEKLY INPUT'!J146/'WEEKLY INPUT'!F146*90,0)</f>
        <v/>
      </c>
      <c r="L146" s="5">
        <f>IFERROR('WEEKLY INPUT'!K146/'WEEKLY INPUT'!F146*90,0)</f>
        <v/>
      </c>
      <c r="M146" s="5">
        <f>IFERROR('WEEKLY INPUT'!L146/'WEEKLY INPUT'!F146*90,0)</f>
        <v/>
      </c>
      <c r="N146" s="5">
        <f>IFERROR('WEEKLY INPUT'!M146/'WEEKLY INPUT'!F146*90,0)</f>
        <v/>
      </c>
      <c r="O146" s="5">
        <f>IFERROR('WEEKLY INPUT'!N146/'WEEKLY INPUT'!F146*90,0)</f>
        <v/>
      </c>
      <c r="P146" s="5">
        <f>IFERROR('WEEKLY INPUT'!O146/'WEEKLY INPUT'!F146*90,0)</f>
        <v/>
      </c>
      <c r="Q146" s="5">
        <f>IFERROR(('WEEKLY INPUT'!J146*2+'WEEKLY INPUT'!K146*1+'WEEKLY INPUT'!O146*0.2)/'WEEKLY INPUT'!F146,0)</f>
        <v/>
      </c>
      <c r="R146" s="5">
        <f>MAX(0.25,MIN(1.15,(F146/540)*0.5+G146*0.5))</f>
        <v/>
      </c>
      <c r="S146" s="5">
        <f>MAX(0.70,MIN(1.10,0.85+0.15*G146))</f>
        <v/>
      </c>
      <c r="T146" s="5">
        <f>IF(A146="","",2*('WEEKLY INPUT'!P146/90)+(H146*5+I146*3)*('WEEKLY INPUT'!P146/90)+(P146*0.15)*('WEEKLY INPUT'!P146/90)+Q146*0.25)</f>
        <v/>
      </c>
      <c r="U146" s="5">
        <f>IF($A146="","",$T146*(1+($3-'WEEKLY INPUT'!R146)*0.10)*$R146*$S146*1.0)</f>
        <v/>
      </c>
      <c r="V146" s="5">
        <f>IF($A146="","",$T146*(1+($3-'WEEKLY INPUT'!S146)*0.10)*$R146*$S146*0.975)</f>
        <v/>
      </c>
      <c r="W146" s="5">
        <f>IF($A146="","",$T146*(1+($3-'WEEKLY INPUT'!T146)*0.10)*$R146*$S146*0.95)</f>
        <v/>
      </c>
      <c r="X146" s="5">
        <f>IF($A146="","",$T146*(1+($3-'WEEKLY INPUT'!U146)*0.10)*$R146*$S146*0.925)</f>
        <v/>
      </c>
      <c r="Y146" s="5">
        <f>IF($A146="","",$T146*(1+($3-'WEEKLY INPUT'!V146)*0.10)*$R146*$S146*0.9)</f>
        <v/>
      </c>
      <c r="Z146" s="5">
        <f>IF($A146="","",$T146*(1+($3-'WEEKLY INPUT'!W146)*0.10)*$R146*$S146*0.875)</f>
        <v/>
      </c>
      <c r="AA146" s="5">
        <f>IF($A146="","",$T146*(1+($3-'WEEKLY INPUT'!X146)*0.10)*$R146*$S146*0.85)</f>
        <v/>
      </c>
      <c r="AB146" s="5">
        <f>IF($A146="","",$T146*(1+($3-'WEEKLY INPUT'!Y146)*0.10)*$R146*$S146*0.825)</f>
        <v/>
      </c>
      <c r="AC146" s="5">
        <f>SUM(U146:AB146)</f>
        <v/>
      </c>
      <c r="AD146" s="5">
        <f>SUM(U146:Z146)</f>
        <v/>
      </c>
      <c r="AE146" s="5">
        <f>IFERROR(AD146/D146,0)</f>
        <v/>
      </c>
      <c r="AF146" s="5">
        <f>MAX(0,1-R146)</f>
        <v/>
      </c>
      <c r="AG146" s="5">
        <f>IFERROR((H146+I146)*R146*(1+0.10*(3-'WEEKLY INPUT'!R146)),"")</f>
        <v/>
      </c>
      <c r="AH146" s="5">
        <f>IFERROR(AG146/SUMPRODUCT($AG$6:$AG$205),"")</f>
        <v/>
      </c>
      <c r="AI146" s="5">
        <f>IFERROR(AD146*(1-AF146*0.5)*(1+0.15*AE146),0)</f>
        <v/>
      </c>
      <c r="AJ146" s="5">
        <f>IF(A146="","",RANK(AI146,$AI$6:$AI$205,0))</f>
        <v/>
      </c>
      <c r="AK146" s="5">
        <f>IFERROR('WEEKLY INPUT'!Z146,"")</f>
        <v/>
      </c>
    </row>
    <row r="147">
      <c r="A147" s="5">
        <f>IFERROR('WEEKLY INPUT'!A147,"")</f>
        <v/>
      </c>
      <c r="B147" s="5">
        <f>IFERROR('WEEKLY INPUT'!B147,"")</f>
        <v/>
      </c>
      <c r="C147" s="5">
        <f>IFERROR('WEEKLY INPUT'!C147,"")</f>
        <v/>
      </c>
      <c r="D147" s="5">
        <f>IFERROR('WEEKLY INPUT'!D147,0)</f>
        <v/>
      </c>
      <c r="E147" s="5">
        <f>IFERROR('WEEKLY INPUT'!E147,0)</f>
        <v/>
      </c>
      <c r="F147" s="5">
        <f>IFERROR('WEEKLY INPUT'!F147,0)</f>
        <v/>
      </c>
      <c r="G147" s="5">
        <f>IFERROR('WEEKLY INPUT'!Q147,0)</f>
        <v/>
      </c>
      <c r="H147" s="5">
        <f>IFERROR('WEEKLY INPUT'!H147/'WEEKLY INPUT'!F147*90,0)</f>
        <v/>
      </c>
      <c r="I147" s="5">
        <f>IFERROR('WEEKLY INPUT'!I147/'WEEKLY INPUT'!F147*90,0)</f>
        <v/>
      </c>
      <c r="J147" s="5">
        <f>H147+I147</f>
        <v/>
      </c>
      <c r="K147" s="5">
        <f>IFERROR('WEEKLY INPUT'!J147/'WEEKLY INPUT'!F147*90,0)</f>
        <v/>
      </c>
      <c r="L147" s="5">
        <f>IFERROR('WEEKLY INPUT'!K147/'WEEKLY INPUT'!F147*90,0)</f>
        <v/>
      </c>
      <c r="M147" s="5">
        <f>IFERROR('WEEKLY INPUT'!L147/'WEEKLY INPUT'!F147*90,0)</f>
        <v/>
      </c>
      <c r="N147" s="5">
        <f>IFERROR('WEEKLY INPUT'!M147/'WEEKLY INPUT'!F147*90,0)</f>
        <v/>
      </c>
      <c r="O147" s="5">
        <f>IFERROR('WEEKLY INPUT'!N147/'WEEKLY INPUT'!F147*90,0)</f>
        <v/>
      </c>
      <c r="P147" s="5">
        <f>IFERROR('WEEKLY INPUT'!O147/'WEEKLY INPUT'!F147*90,0)</f>
        <v/>
      </c>
      <c r="Q147" s="5">
        <f>IFERROR(('WEEKLY INPUT'!J147*2+'WEEKLY INPUT'!K147*1+'WEEKLY INPUT'!O147*0.2)/'WEEKLY INPUT'!F147,0)</f>
        <v/>
      </c>
      <c r="R147" s="5">
        <f>MAX(0.25,MIN(1.15,(F147/540)*0.5+G147*0.5))</f>
        <v/>
      </c>
      <c r="S147" s="5">
        <f>MAX(0.70,MIN(1.10,0.85+0.15*G147))</f>
        <v/>
      </c>
      <c r="T147" s="5">
        <f>IF(A147="","",2*('WEEKLY INPUT'!P147/90)+(H147*5+I147*3)*('WEEKLY INPUT'!P147/90)+(P147*0.15)*('WEEKLY INPUT'!P147/90)+Q147*0.25)</f>
        <v/>
      </c>
      <c r="U147" s="5">
        <f>IF($A147="","",$T147*(1+($3-'WEEKLY INPUT'!R147)*0.10)*$R147*$S147*1.0)</f>
        <v/>
      </c>
      <c r="V147" s="5">
        <f>IF($A147="","",$T147*(1+($3-'WEEKLY INPUT'!S147)*0.10)*$R147*$S147*0.975)</f>
        <v/>
      </c>
      <c r="W147" s="5">
        <f>IF($A147="","",$T147*(1+($3-'WEEKLY INPUT'!T147)*0.10)*$R147*$S147*0.95)</f>
        <v/>
      </c>
      <c r="X147" s="5">
        <f>IF($A147="","",$T147*(1+($3-'WEEKLY INPUT'!U147)*0.10)*$R147*$S147*0.925)</f>
        <v/>
      </c>
      <c r="Y147" s="5">
        <f>IF($A147="","",$T147*(1+($3-'WEEKLY INPUT'!V147)*0.10)*$R147*$S147*0.9)</f>
        <v/>
      </c>
      <c r="Z147" s="5">
        <f>IF($A147="","",$T147*(1+($3-'WEEKLY INPUT'!W147)*0.10)*$R147*$S147*0.875)</f>
        <v/>
      </c>
      <c r="AA147" s="5">
        <f>IF($A147="","",$T147*(1+($3-'WEEKLY INPUT'!X147)*0.10)*$R147*$S147*0.85)</f>
        <v/>
      </c>
      <c r="AB147" s="5">
        <f>IF($A147="","",$T147*(1+($3-'WEEKLY INPUT'!Y147)*0.10)*$R147*$S147*0.825)</f>
        <v/>
      </c>
      <c r="AC147" s="5">
        <f>SUM(U147:AB147)</f>
        <v/>
      </c>
      <c r="AD147" s="5">
        <f>SUM(U147:Z147)</f>
        <v/>
      </c>
      <c r="AE147" s="5">
        <f>IFERROR(AD147/D147,0)</f>
        <v/>
      </c>
      <c r="AF147" s="5">
        <f>MAX(0,1-R147)</f>
        <v/>
      </c>
      <c r="AG147" s="5">
        <f>IFERROR((H147+I147)*R147*(1+0.10*(3-'WEEKLY INPUT'!R147)),"")</f>
        <v/>
      </c>
      <c r="AH147" s="5">
        <f>IFERROR(AG147/SUMPRODUCT($AG$6:$AG$205),"")</f>
        <v/>
      </c>
      <c r="AI147" s="5">
        <f>IFERROR(AD147*(1-AF147*0.5)*(1+0.15*AE147),0)</f>
        <v/>
      </c>
      <c r="AJ147" s="5">
        <f>IF(A147="","",RANK(AI147,$AI$6:$AI$205,0))</f>
        <v/>
      </c>
      <c r="AK147" s="5">
        <f>IFERROR('WEEKLY INPUT'!Z147,"")</f>
        <v/>
      </c>
    </row>
    <row r="148">
      <c r="A148" s="5">
        <f>IFERROR('WEEKLY INPUT'!A148,"")</f>
        <v/>
      </c>
      <c r="B148" s="5">
        <f>IFERROR('WEEKLY INPUT'!B148,"")</f>
        <v/>
      </c>
      <c r="C148" s="5">
        <f>IFERROR('WEEKLY INPUT'!C148,"")</f>
        <v/>
      </c>
      <c r="D148" s="5">
        <f>IFERROR('WEEKLY INPUT'!D148,0)</f>
        <v/>
      </c>
      <c r="E148" s="5">
        <f>IFERROR('WEEKLY INPUT'!E148,0)</f>
        <v/>
      </c>
      <c r="F148" s="5">
        <f>IFERROR('WEEKLY INPUT'!F148,0)</f>
        <v/>
      </c>
      <c r="G148" s="5">
        <f>IFERROR('WEEKLY INPUT'!Q148,0)</f>
        <v/>
      </c>
      <c r="H148" s="5">
        <f>IFERROR('WEEKLY INPUT'!H148/'WEEKLY INPUT'!F148*90,0)</f>
        <v/>
      </c>
      <c r="I148" s="5">
        <f>IFERROR('WEEKLY INPUT'!I148/'WEEKLY INPUT'!F148*90,0)</f>
        <v/>
      </c>
      <c r="J148" s="5">
        <f>H148+I148</f>
        <v/>
      </c>
      <c r="K148" s="5">
        <f>IFERROR('WEEKLY INPUT'!J148/'WEEKLY INPUT'!F148*90,0)</f>
        <v/>
      </c>
      <c r="L148" s="5">
        <f>IFERROR('WEEKLY INPUT'!K148/'WEEKLY INPUT'!F148*90,0)</f>
        <v/>
      </c>
      <c r="M148" s="5">
        <f>IFERROR('WEEKLY INPUT'!L148/'WEEKLY INPUT'!F148*90,0)</f>
        <v/>
      </c>
      <c r="N148" s="5">
        <f>IFERROR('WEEKLY INPUT'!M148/'WEEKLY INPUT'!F148*90,0)</f>
        <v/>
      </c>
      <c r="O148" s="5">
        <f>IFERROR('WEEKLY INPUT'!N148/'WEEKLY INPUT'!F148*90,0)</f>
        <v/>
      </c>
      <c r="P148" s="5">
        <f>IFERROR('WEEKLY INPUT'!O148/'WEEKLY INPUT'!F148*90,0)</f>
        <v/>
      </c>
      <c r="Q148" s="5">
        <f>IFERROR(('WEEKLY INPUT'!J148*2+'WEEKLY INPUT'!K148*1+'WEEKLY INPUT'!O148*0.2)/'WEEKLY INPUT'!F148,0)</f>
        <v/>
      </c>
      <c r="R148" s="5">
        <f>MAX(0.25,MIN(1.15,(F148/540)*0.5+G148*0.5))</f>
        <v/>
      </c>
      <c r="S148" s="5">
        <f>MAX(0.70,MIN(1.10,0.85+0.15*G148))</f>
        <v/>
      </c>
      <c r="T148" s="5">
        <f>IF(A148="","",2*('WEEKLY INPUT'!P148/90)+(H148*5+I148*3)*('WEEKLY INPUT'!P148/90)+(P148*0.15)*('WEEKLY INPUT'!P148/90)+Q148*0.25)</f>
        <v/>
      </c>
      <c r="U148" s="5">
        <f>IF($A148="","",$T148*(1+($3-'WEEKLY INPUT'!R148)*0.10)*$R148*$S148*1.0)</f>
        <v/>
      </c>
      <c r="V148" s="5">
        <f>IF($A148="","",$T148*(1+($3-'WEEKLY INPUT'!S148)*0.10)*$R148*$S148*0.975)</f>
        <v/>
      </c>
      <c r="W148" s="5">
        <f>IF($A148="","",$T148*(1+($3-'WEEKLY INPUT'!T148)*0.10)*$R148*$S148*0.95)</f>
        <v/>
      </c>
      <c r="X148" s="5">
        <f>IF($A148="","",$T148*(1+($3-'WEEKLY INPUT'!U148)*0.10)*$R148*$S148*0.925)</f>
        <v/>
      </c>
      <c r="Y148" s="5">
        <f>IF($A148="","",$T148*(1+($3-'WEEKLY INPUT'!V148)*0.10)*$R148*$S148*0.9)</f>
        <v/>
      </c>
      <c r="Z148" s="5">
        <f>IF($A148="","",$T148*(1+($3-'WEEKLY INPUT'!W148)*0.10)*$R148*$S148*0.875)</f>
        <v/>
      </c>
      <c r="AA148" s="5">
        <f>IF($A148="","",$T148*(1+($3-'WEEKLY INPUT'!X148)*0.10)*$R148*$S148*0.85)</f>
        <v/>
      </c>
      <c r="AB148" s="5">
        <f>IF($A148="","",$T148*(1+($3-'WEEKLY INPUT'!Y148)*0.10)*$R148*$S148*0.825)</f>
        <v/>
      </c>
      <c r="AC148" s="5">
        <f>SUM(U148:AB148)</f>
        <v/>
      </c>
      <c r="AD148" s="5">
        <f>SUM(U148:Z148)</f>
        <v/>
      </c>
      <c r="AE148" s="5">
        <f>IFERROR(AD148/D148,0)</f>
        <v/>
      </c>
      <c r="AF148" s="5">
        <f>MAX(0,1-R148)</f>
        <v/>
      </c>
      <c r="AG148" s="5">
        <f>IFERROR((H148+I148)*R148*(1+0.10*(3-'WEEKLY INPUT'!R148)),"")</f>
        <v/>
      </c>
      <c r="AH148" s="5">
        <f>IFERROR(AG148/SUMPRODUCT($AG$6:$AG$205),"")</f>
        <v/>
      </c>
      <c r="AI148" s="5">
        <f>IFERROR(AD148*(1-AF148*0.5)*(1+0.15*AE148),0)</f>
        <v/>
      </c>
      <c r="AJ148" s="5">
        <f>IF(A148="","",RANK(AI148,$AI$6:$AI$205,0))</f>
        <v/>
      </c>
      <c r="AK148" s="5">
        <f>IFERROR('WEEKLY INPUT'!Z148,"")</f>
        <v/>
      </c>
    </row>
    <row r="149">
      <c r="A149" s="5">
        <f>IFERROR('WEEKLY INPUT'!A149,"")</f>
        <v/>
      </c>
      <c r="B149" s="5">
        <f>IFERROR('WEEKLY INPUT'!B149,"")</f>
        <v/>
      </c>
      <c r="C149" s="5">
        <f>IFERROR('WEEKLY INPUT'!C149,"")</f>
        <v/>
      </c>
      <c r="D149" s="5">
        <f>IFERROR('WEEKLY INPUT'!D149,0)</f>
        <v/>
      </c>
      <c r="E149" s="5">
        <f>IFERROR('WEEKLY INPUT'!E149,0)</f>
        <v/>
      </c>
      <c r="F149" s="5">
        <f>IFERROR('WEEKLY INPUT'!F149,0)</f>
        <v/>
      </c>
      <c r="G149" s="5">
        <f>IFERROR('WEEKLY INPUT'!Q149,0)</f>
        <v/>
      </c>
      <c r="H149" s="5">
        <f>IFERROR('WEEKLY INPUT'!H149/'WEEKLY INPUT'!F149*90,0)</f>
        <v/>
      </c>
      <c r="I149" s="5">
        <f>IFERROR('WEEKLY INPUT'!I149/'WEEKLY INPUT'!F149*90,0)</f>
        <v/>
      </c>
      <c r="J149" s="5">
        <f>H149+I149</f>
        <v/>
      </c>
      <c r="K149" s="5">
        <f>IFERROR('WEEKLY INPUT'!J149/'WEEKLY INPUT'!F149*90,0)</f>
        <v/>
      </c>
      <c r="L149" s="5">
        <f>IFERROR('WEEKLY INPUT'!K149/'WEEKLY INPUT'!F149*90,0)</f>
        <v/>
      </c>
      <c r="M149" s="5">
        <f>IFERROR('WEEKLY INPUT'!L149/'WEEKLY INPUT'!F149*90,0)</f>
        <v/>
      </c>
      <c r="N149" s="5">
        <f>IFERROR('WEEKLY INPUT'!M149/'WEEKLY INPUT'!F149*90,0)</f>
        <v/>
      </c>
      <c r="O149" s="5">
        <f>IFERROR('WEEKLY INPUT'!N149/'WEEKLY INPUT'!F149*90,0)</f>
        <v/>
      </c>
      <c r="P149" s="5">
        <f>IFERROR('WEEKLY INPUT'!O149/'WEEKLY INPUT'!F149*90,0)</f>
        <v/>
      </c>
      <c r="Q149" s="5">
        <f>IFERROR(('WEEKLY INPUT'!J149*2+'WEEKLY INPUT'!K149*1+'WEEKLY INPUT'!O149*0.2)/'WEEKLY INPUT'!F149,0)</f>
        <v/>
      </c>
      <c r="R149" s="5">
        <f>MAX(0.25,MIN(1.15,(F149/540)*0.5+G149*0.5))</f>
        <v/>
      </c>
      <c r="S149" s="5">
        <f>MAX(0.70,MIN(1.10,0.85+0.15*G149))</f>
        <v/>
      </c>
      <c r="T149" s="5">
        <f>IF(A149="","",2*('WEEKLY INPUT'!P149/90)+(H149*5+I149*3)*('WEEKLY INPUT'!P149/90)+(P149*0.15)*('WEEKLY INPUT'!P149/90)+Q149*0.25)</f>
        <v/>
      </c>
      <c r="U149" s="5">
        <f>IF($A149="","",$T149*(1+($3-'WEEKLY INPUT'!R149)*0.10)*$R149*$S149*1.0)</f>
        <v/>
      </c>
      <c r="V149" s="5">
        <f>IF($A149="","",$T149*(1+($3-'WEEKLY INPUT'!S149)*0.10)*$R149*$S149*0.975)</f>
        <v/>
      </c>
      <c r="W149" s="5">
        <f>IF($A149="","",$T149*(1+($3-'WEEKLY INPUT'!T149)*0.10)*$R149*$S149*0.95)</f>
        <v/>
      </c>
      <c r="X149" s="5">
        <f>IF($A149="","",$T149*(1+($3-'WEEKLY INPUT'!U149)*0.10)*$R149*$S149*0.925)</f>
        <v/>
      </c>
      <c r="Y149" s="5">
        <f>IF($A149="","",$T149*(1+($3-'WEEKLY INPUT'!V149)*0.10)*$R149*$S149*0.9)</f>
        <v/>
      </c>
      <c r="Z149" s="5">
        <f>IF($A149="","",$T149*(1+($3-'WEEKLY INPUT'!W149)*0.10)*$R149*$S149*0.875)</f>
        <v/>
      </c>
      <c r="AA149" s="5">
        <f>IF($A149="","",$T149*(1+($3-'WEEKLY INPUT'!X149)*0.10)*$R149*$S149*0.85)</f>
        <v/>
      </c>
      <c r="AB149" s="5">
        <f>IF($A149="","",$T149*(1+($3-'WEEKLY INPUT'!Y149)*0.10)*$R149*$S149*0.825)</f>
        <v/>
      </c>
      <c r="AC149" s="5">
        <f>SUM(U149:AB149)</f>
        <v/>
      </c>
      <c r="AD149" s="5">
        <f>SUM(U149:Z149)</f>
        <v/>
      </c>
      <c r="AE149" s="5">
        <f>IFERROR(AD149/D149,0)</f>
        <v/>
      </c>
      <c r="AF149" s="5">
        <f>MAX(0,1-R149)</f>
        <v/>
      </c>
      <c r="AG149" s="5">
        <f>IFERROR((H149+I149)*R149*(1+0.10*(3-'WEEKLY INPUT'!R149)),"")</f>
        <v/>
      </c>
      <c r="AH149" s="5">
        <f>IFERROR(AG149/SUMPRODUCT($AG$6:$AG$205),"")</f>
        <v/>
      </c>
      <c r="AI149" s="5">
        <f>IFERROR(AD149*(1-AF149*0.5)*(1+0.15*AE149),0)</f>
        <v/>
      </c>
      <c r="AJ149" s="5">
        <f>IF(A149="","",RANK(AI149,$AI$6:$AI$205,0))</f>
        <v/>
      </c>
      <c r="AK149" s="5">
        <f>IFERROR('WEEKLY INPUT'!Z149,"")</f>
        <v/>
      </c>
    </row>
    <row r="150">
      <c r="A150" s="5">
        <f>IFERROR('WEEKLY INPUT'!A150,"")</f>
        <v/>
      </c>
      <c r="B150" s="5">
        <f>IFERROR('WEEKLY INPUT'!B150,"")</f>
        <v/>
      </c>
      <c r="C150" s="5">
        <f>IFERROR('WEEKLY INPUT'!C150,"")</f>
        <v/>
      </c>
      <c r="D150" s="5">
        <f>IFERROR('WEEKLY INPUT'!D150,0)</f>
        <v/>
      </c>
      <c r="E150" s="5">
        <f>IFERROR('WEEKLY INPUT'!E150,0)</f>
        <v/>
      </c>
      <c r="F150" s="5">
        <f>IFERROR('WEEKLY INPUT'!F150,0)</f>
        <v/>
      </c>
      <c r="G150" s="5">
        <f>IFERROR('WEEKLY INPUT'!Q150,0)</f>
        <v/>
      </c>
      <c r="H150" s="5">
        <f>IFERROR('WEEKLY INPUT'!H150/'WEEKLY INPUT'!F150*90,0)</f>
        <v/>
      </c>
      <c r="I150" s="5">
        <f>IFERROR('WEEKLY INPUT'!I150/'WEEKLY INPUT'!F150*90,0)</f>
        <v/>
      </c>
      <c r="J150" s="5">
        <f>H150+I150</f>
        <v/>
      </c>
      <c r="K150" s="5">
        <f>IFERROR('WEEKLY INPUT'!J150/'WEEKLY INPUT'!F150*90,0)</f>
        <v/>
      </c>
      <c r="L150" s="5">
        <f>IFERROR('WEEKLY INPUT'!K150/'WEEKLY INPUT'!F150*90,0)</f>
        <v/>
      </c>
      <c r="M150" s="5">
        <f>IFERROR('WEEKLY INPUT'!L150/'WEEKLY INPUT'!F150*90,0)</f>
        <v/>
      </c>
      <c r="N150" s="5">
        <f>IFERROR('WEEKLY INPUT'!M150/'WEEKLY INPUT'!F150*90,0)</f>
        <v/>
      </c>
      <c r="O150" s="5">
        <f>IFERROR('WEEKLY INPUT'!N150/'WEEKLY INPUT'!F150*90,0)</f>
        <v/>
      </c>
      <c r="P150" s="5">
        <f>IFERROR('WEEKLY INPUT'!O150/'WEEKLY INPUT'!F150*90,0)</f>
        <v/>
      </c>
      <c r="Q150" s="5">
        <f>IFERROR(('WEEKLY INPUT'!J150*2+'WEEKLY INPUT'!K150*1+'WEEKLY INPUT'!O150*0.2)/'WEEKLY INPUT'!F150,0)</f>
        <v/>
      </c>
      <c r="R150" s="5">
        <f>MAX(0.25,MIN(1.15,(F150/540)*0.5+G150*0.5))</f>
        <v/>
      </c>
      <c r="S150" s="5">
        <f>MAX(0.70,MIN(1.10,0.85+0.15*G150))</f>
        <v/>
      </c>
      <c r="T150" s="5">
        <f>IF(A150="","",2*('WEEKLY INPUT'!P150/90)+(H150*5+I150*3)*('WEEKLY INPUT'!P150/90)+(P150*0.15)*('WEEKLY INPUT'!P150/90)+Q150*0.25)</f>
        <v/>
      </c>
      <c r="U150" s="5">
        <f>IF($A150="","",$T150*(1+($3-'WEEKLY INPUT'!R150)*0.10)*$R150*$S150*1.0)</f>
        <v/>
      </c>
      <c r="V150" s="5">
        <f>IF($A150="","",$T150*(1+($3-'WEEKLY INPUT'!S150)*0.10)*$R150*$S150*0.975)</f>
        <v/>
      </c>
      <c r="W150" s="5">
        <f>IF($A150="","",$T150*(1+($3-'WEEKLY INPUT'!T150)*0.10)*$R150*$S150*0.95)</f>
        <v/>
      </c>
      <c r="X150" s="5">
        <f>IF($A150="","",$T150*(1+($3-'WEEKLY INPUT'!U150)*0.10)*$R150*$S150*0.925)</f>
        <v/>
      </c>
      <c r="Y150" s="5">
        <f>IF($A150="","",$T150*(1+($3-'WEEKLY INPUT'!V150)*0.10)*$R150*$S150*0.9)</f>
        <v/>
      </c>
      <c r="Z150" s="5">
        <f>IF($A150="","",$T150*(1+($3-'WEEKLY INPUT'!W150)*0.10)*$R150*$S150*0.875)</f>
        <v/>
      </c>
      <c r="AA150" s="5">
        <f>IF($A150="","",$T150*(1+($3-'WEEKLY INPUT'!X150)*0.10)*$R150*$S150*0.85)</f>
        <v/>
      </c>
      <c r="AB150" s="5">
        <f>IF($A150="","",$T150*(1+($3-'WEEKLY INPUT'!Y150)*0.10)*$R150*$S150*0.825)</f>
        <v/>
      </c>
      <c r="AC150" s="5">
        <f>SUM(U150:AB150)</f>
        <v/>
      </c>
      <c r="AD150" s="5">
        <f>SUM(U150:Z150)</f>
        <v/>
      </c>
      <c r="AE150" s="5">
        <f>IFERROR(AD150/D150,0)</f>
        <v/>
      </c>
      <c r="AF150" s="5">
        <f>MAX(0,1-R150)</f>
        <v/>
      </c>
      <c r="AG150" s="5">
        <f>IFERROR((H150+I150)*R150*(1+0.10*(3-'WEEKLY INPUT'!R150)),"")</f>
        <v/>
      </c>
      <c r="AH150" s="5">
        <f>IFERROR(AG150/SUMPRODUCT($AG$6:$AG$205),"")</f>
        <v/>
      </c>
      <c r="AI150" s="5">
        <f>IFERROR(AD150*(1-AF150*0.5)*(1+0.15*AE150),0)</f>
        <v/>
      </c>
      <c r="AJ150" s="5">
        <f>IF(A150="","",RANK(AI150,$AI$6:$AI$205,0))</f>
        <v/>
      </c>
      <c r="AK150" s="5">
        <f>IFERROR('WEEKLY INPUT'!Z150,"")</f>
        <v/>
      </c>
    </row>
    <row r="151">
      <c r="A151" s="5">
        <f>IFERROR('WEEKLY INPUT'!A151,"")</f>
        <v/>
      </c>
      <c r="B151" s="5">
        <f>IFERROR('WEEKLY INPUT'!B151,"")</f>
        <v/>
      </c>
      <c r="C151" s="5">
        <f>IFERROR('WEEKLY INPUT'!C151,"")</f>
        <v/>
      </c>
      <c r="D151" s="5">
        <f>IFERROR('WEEKLY INPUT'!D151,0)</f>
        <v/>
      </c>
      <c r="E151" s="5">
        <f>IFERROR('WEEKLY INPUT'!E151,0)</f>
        <v/>
      </c>
      <c r="F151" s="5">
        <f>IFERROR('WEEKLY INPUT'!F151,0)</f>
        <v/>
      </c>
      <c r="G151" s="5">
        <f>IFERROR('WEEKLY INPUT'!Q151,0)</f>
        <v/>
      </c>
      <c r="H151" s="5">
        <f>IFERROR('WEEKLY INPUT'!H151/'WEEKLY INPUT'!F151*90,0)</f>
        <v/>
      </c>
      <c r="I151" s="5">
        <f>IFERROR('WEEKLY INPUT'!I151/'WEEKLY INPUT'!F151*90,0)</f>
        <v/>
      </c>
      <c r="J151" s="5">
        <f>H151+I151</f>
        <v/>
      </c>
      <c r="K151" s="5">
        <f>IFERROR('WEEKLY INPUT'!J151/'WEEKLY INPUT'!F151*90,0)</f>
        <v/>
      </c>
      <c r="L151" s="5">
        <f>IFERROR('WEEKLY INPUT'!K151/'WEEKLY INPUT'!F151*90,0)</f>
        <v/>
      </c>
      <c r="M151" s="5">
        <f>IFERROR('WEEKLY INPUT'!L151/'WEEKLY INPUT'!F151*90,0)</f>
        <v/>
      </c>
      <c r="N151" s="5">
        <f>IFERROR('WEEKLY INPUT'!M151/'WEEKLY INPUT'!F151*90,0)</f>
        <v/>
      </c>
      <c r="O151" s="5">
        <f>IFERROR('WEEKLY INPUT'!N151/'WEEKLY INPUT'!F151*90,0)</f>
        <v/>
      </c>
      <c r="P151" s="5">
        <f>IFERROR('WEEKLY INPUT'!O151/'WEEKLY INPUT'!F151*90,0)</f>
        <v/>
      </c>
      <c r="Q151" s="5">
        <f>IFERROR(('WEEKLY INPUT'!J151*2+'WEEKLY INPUT'!K151*1+'WEEKLY INPUT'!O151*0.2)/'WEEKLY INPUT'!F151,0)</f>
        <v/>
      </c>
      <c r="R151" s="5">
        <f>MAX(0.25,MIN(1.15,(F151/540)*0.5+G151*0.5))</f>
        <v/>
      </c>
      <c r="S151" s="5">
        <f>MAX(0.70,MIN(1.10,0.85+0.15*G151))</f>
        <v/>
      </c>
      <c r="T151" s="5">
        <f>IF(A151="","",2*('WEEKLY INPUT'!P151/90)+(H151*5+I151*3)*('WEEKLY INPUT'!P151/90)+(P151*0.15)*('WEEKLY INPUT'!P151/90)+Q151*0.25)</f>
        <v/>
      </c>
      <c r="U151" s="5">
        <f>IF($A151="","",$T151*(1+($3-'WEEKLY INPUT'!R151)*0.10)*$R151*$S151*1.0)</f>
        <v/>
      </c>
      <c r="V151" s="5">
        <f>IF($A151="","",$T151*(1+($3-'WEEKLY INPUT'!S151)*0.10)*$R151*$S151*0.975)</f>
        <v/>
      </c>
      <c r="W151" s="5">
        <f>IF($A151="","",$T151*(1+($3-'WEEKLY INPUT'!T151)*0.10)*$R151*$S151*0.95)</f>
        <v/>
      </c>
      <c r="X151" s="5">
        <f>IF($A151="","",$T151*(1+($3-'WEEKLY INPUT'!U151)*0.10)*$R151*$S151*0.925)</f>
        <v/>
      </c>
      <c r="Y151" s="5">
        <f>IF($A151="","",$T151*(1+($3-'WEEKLY INPUT'!V151)*0.10)*$R151*$S151*0.9)</f>
        <v/>
      </c>
      <c r="Z151" s="5">
        <f>IF($A151="","",$T151*(1+($3-'WEEKLY INPUT'!W151)*0.10)*$R151*$S151*0.875)</f>
        <v/>
      </c>
      <c r="AA151" s="5">
        <f>IF($A151="","",$T151*(1+($3-'WEEKLY INPUT'!X151)*0.10)*$R151*$S151*0.85)</f>
        <v/>
      </c>
      <c r="AB151" s="5">
        <f>IF($A151="","",$T151*(1+($3-'WEEKLY INPUT'!Y151)*0.10)*$R151*$S151*0.825)</f>
        <v/>
      </c>
      <c r="AC151" s="5">
        <f>SUM(U151:AB151)</f>
        <v/>
      </c>
      <c r="AD151" s="5">
        <f>SUM(U151:Z151)</f>
        <v/>
      </c>
      <c r="AE151" s="5">
        <f>IFERROR(AD151/D151,0)</f>
        <v/>
      </c>
      <c r="AF151" s="5">
        <f>MAX(0,1-R151)</f>
        <v/>
      </c>
      <c r="AG151" s="5">
        <f>IFERROR((H151+I151)*R151*(1+0.10*(3-'WEEKLY INPUT'!R151)),"")</f>
        <v/>
      </c>
      <c r="AH151" s="5">
        <f>IFERROR(AG151/SUMPRODUCT($AG$6:$AG$205),"")</f>
        <v/>
      </c>
      <c r="AI151" s="5">
        <f>IFERROR(AD151*(1-AF151*0.5)*(1+0.15*AE151),0)</f>
        <v/>
      </c>
      <c r="AJ151" s="5">
        <f>IF(A151="","",RANK(AI151,$AI$6:$AI$205,0))</f>
        <v/>
      </c>
      <c r="AK151" s="5">
        <f>IFERROR('WEEKLY INPUT'!Z151,"")</f>
        <v/>
      </c>
    </row>
    <row r="152">
      <c r="A152" s="5">
        <f>IFERROR('WEEKLY INPUT'!A152,"")</f>
        <v/>
      </c>
      <c r="B152" s="5">
        <f>IFERROR('WEEKLY INPUT'!B152,"")</f>
        <v/>
      </c>
      <c r="C152" s="5">
        <f>IFERROR('WEEKLY INPUT'!C152,"")</f>
        <v/>
      </c>
      <c r="D152" s="5">
        <f>IFERROR('WEEKLY INPUT'!D152,0)</f>
        <v/>
      </c>
      <c r="E152" s="5">
        <f>IFERROR('WEEKLY INPUT'!E152,0)</f>
        <v/>
      </c>
      <c r="F152" s="5">
        <f>IFERROR('WEEKLY INPUT'!F152,0)</f>
        <v/>
      </c>
      <c r="G152" s="5">
        <f>IFERROR('WEEKLY INPUT'!Q152,0)</f>
        <v/>
      </c>
      <c r="H152" s="5">
        <f>IFERROR('WEEKLY INPUT'!H152/'WEEKLY INPUT'!F152*90,0)</f>
        <v/>
      </c>
      <c r="I152" s="5">
        <f>IFERROR('WEEKLY INPUT'!I152/'WEEKLY INPUT'!F152*90,0)</f>
        <v/>
      </c>
      <c r="J152" s="5">
        <f>H152+I152</f>
        <v/>
      </c>
      <c r="K152" s="5">
        <f>IFERROR('WEEKLY INPUT'!J152/'WEEKLY INPUT'!F152*90,0)</f>
        <v/>
      </c>
      <c r="L152" s="5">
        <f>IFERROR('WEEKLY INPUT'!K152/'WEEKLY INPUT'!F152*90,0)</f>
        <v/>
      </c>
      <c r="M152" s="5">
        <f>IFERROR('WEEKLY INPUT'!L152/'WEEKLY INPUT'!F152*90,0)</f>
        <v/>
      </c>
      <c r="N152" s="5">
        <f>IFERROR('WEEKLY INPUT'!M152/'WEEKLY INPUT'!F152*90,0)</f>
        <v/>
      </c>
      <c r="O152" s="5">
        <f>IFERROR('WEEKLY INPUT'!N152/'WEEKLY INPUT'!F152*90,0)</f>
        <v/>
      </c>
      <c r="P152" s="5">
        <f>IFERROR('WEEKLY INPUT'!O152/'WEEKLY INPUT'!F152*90,0)</f>
        <v/>
      </c>
      <c r="Q152" s="5">
        <f>IFERROR(('WEEKLY INPUT'!J152*2+'WEEKLY INPUT'!K152*1+'WEEKLY INPUT'!O152*0.2)/'WEEKLY INPUT'!F152,0)</f>
        <v/>
      </c>
      <c r="R152" s="5">
        <f>MAX(0.25,MIN(1.15,(F152/540)*0.5+G152*0.5))</f>
        <v/>
      </c>
      <c r="S152" s="5">
        <f>MAX(0.70,MIN(1.10,0.85+0.15*G152))</f>
        <v/>
      </c>
      <c r="T152" s="5">
        <f>IF(A152="","",2*('WEEKLY INPUT'!P152/90)+(H152*5+I152*3)*('WEEKLY INPUT'!P152/90)+(P152*0.15)*('WEEKLY INPUT'!P152/90)+Q152*0.25)</f>
        <v/>
      </c>
      <c r="U152" s="5">
        <f>IF($A152="","",$T152*(1+($3-'WEEKLY INPUT'!R152)*0.10)*$R152*$S152*1.0)</f>
        <v/>
      </c>
      <c r="V152" s="5">
        <f>IF($A152="","",$T152*(1+($3-'WEEKLY INPUT'!S152)*0.10)*$R152*$S152*0.975)</f>
        <v/>
      </c>
      <c r="W152" s="5">
        <f>IF($A152="","",$T152*(1+($3-'WEEKLY INPUT'!T152)*0.10)*$R152*$S152*0.95)</f>
        <v/>
      </c>
      <c r="X152" s="5">
        <f>IF($A152="","",$T152*(1+($3-'WEEKLY INPUT'!U152)*0.10)*$R152*$S152*0.925)</f>
        <v/>
      </c>
      <c r="Y152" s="5">
        <f>IF($A152="","",$T152*(1+($3-'WEEKLY INPUT'!V152)*0.10)*$R152*$S152*0.9)</f>
        <v/>
      </c>
      <c r="Z152" s="5">
        <f>IF($A152="","",$T152*(1+($3-'WEEKLY INPUT'!W152)*0.10)*$R152*$S152*0.875)</f>
        <v/>
      </c>
      <c r="AA152" s="5">
        <f>IF($A152="","",$T152*(1+($3-'WEEKLY INPUT'!X152)*0.10)*$R152*$S152*0.85)</f>
        <v/>
      </c>
      <c r="AB152" s="5">
        <f>IF($A152="","",$T152*(1+($3-'WEEKLY INPUT'!Y152)*0.10)*$R152*$S152*0.825)</f>
        <v/>
      </c>
      <c r="AC152" s="5">
        <f>SUM(U152:AB152)</f>
        <v/>
      </c>
      <c r="AD152" s="5">
        <f>SUM(U152:Z152)</f>
        <v/>
      </c>
      <c r="AE152" s="5">
        <f>IFERROR(AD152/D152,0)</f>
        <v/>
      </c>
      <c r="AF152" s="5">
        <f>MAX(0,1-R152)</f>
        <v/>
      </c>
      <c r="AG152" s="5">
        <f>IFERROR((H152+I152)*R152*(1+0.10*(3-'WEEKLY INPUT'!R152)),"")</f>
        <v/>
      </c>
      <c r="AH152" s="5">
        <f>IFERROR(AG152/SUMPRODUCT($AG$6:$AG$205),"")</f>
        <v/>
      </c>
      <c r="AI152" s="5">
        <f>IFERROR(AD152*(1-AF152*0.5)*(1+0.15*AE152),0)</f>
        <v/>
      </c>
      <c r="AJ152" s="5">
        <f>IF(A152="","",RANK(AI152,$AI$6:$AI$205,0))</f>
        <v/>
      </c>
      <c r="AK152" s="5">
        <f>IFERROR('WEEKLY INPUT'!Z152,"")</f>
        <v/>
      </c>
    </row>
    <row r="153">
      <c r="A153" s="5">
        <f>IFERROR('WEEKLY INPUT'!A153,"")</f>
        <v/>
      </c>
      <c r="B153" s="5">
        <f>IFERROR('WEEKLY INPUT'!B153,"")</f>
        <v/>
      </c>
      <c r="C153" s="5">
        <f>IFERROR('WEEKLY INPUT'!C153,"")</f>
        <v/>
      </c>
      <c r="D153" s="5">
        <f>IFERROR('WEEKLY INPUT'!D153,0)</f>
        <v/>
      </c>
      <c r="E153" s="5">
        <f>IFERROR('WEEKLY INPUT'!E153,0)</f>
        <v/>
      </c>
      <c r="F153" s="5">
        <f>IFERROR('WEEKLY INPUT'!F153,0)</f>
        <v/>
      </c>
      <c r="G153" s="5">
        <f>IFERROR('WEEKLY INPUT'!Q153,0)</f>
        <v/>
      </c>
      <c r="H153" s="5">
        <f>IFERROR('WEEKLY INPUT'!H153/'WEEKLY INPUT'!F153*90,0)</f>
        <v/>
      </c>
      <c r="I153" s="5">
        <f>IFERROR('WEEKLY INPUT'!I153/'WEEKLY INPUT'!F153*90,0)</f>
        <v/>
      </c>
      <c r="J153" s="5">
        <f>H153+I153</f>
        <v/>
      </c>
      <c r="K153" s="5">
        <f>IFERROR('WEEKLY INPUT'!J153/'WEEKLY INPUT'!F153*90,0)</f>
        <v/>
      </c>
      <c r="L153" s="5">
        <f>IFERROR('WEEKLY INPUT'!K153/'WEEKLY INPUT'!F153*90,0)</f>
        <v/>
      </c>
      <c r="M153" s="5">
        <f>IFERROR('WEEKLY INPUT'!L153/'WEEKLY INPUT'!F153*90,0)</f>
        <v/>
      </c>
      <c r="N153" s="5">
        <f>IFERROR('WEEKLY INPUT'!M153/'WEEKLY INPUT'!F153*90,0)</f>
        <v/>
      </c>
      <c r="O153" s="5">
        <f>IFERROR('WEEKLY INPUT'!N153/'WEEKLY INPUT'!F153*90,0)</f>
        <v/>
      </c>
      <c r="P153" s="5">
        <f>IFERROR('WEEKLY INPUT'!O153/'WEEKLY INPUT'!F153*90,0)</f>
        <v/>
      </c>
      <c r="Q153" s="5">
        <f>IFERROR(('WEEKLY INPUT'!J153*2+'WEEKLY INPUT'!K153*1+'WEEKLY INPUT'!O153*0.2)/'WEEKLY INPUT'!F153,0)</f>
        <v/>
      </c>
      <c r="R153" s="5">
        <f>MAX(0.25,MIN(1.15,(F153/540)*0.5+G153*0.5))</f>
        <v/>
      </c>
      <c r="S153" s="5">
        <f>MAX(0.70,MIN(1.10,0.85+0.15*G153))</f>
        <v/>
      </c>
      <c r="T153" s="5">
        <f>IF(A153="","",2*('WEEKLY INPUT'!P153/90)+(H153*5+I153*3)*('WEEKLY INPUT'!P153/90)+(P153*0.15)*('WEEKLY INPUT'!P153/90)+Q153*0.25)</f>
        <v/>
      </c>
      <c r="U153" s="5">
        <f>IF($A153="","",$T153*(1+($3-'WEEKLY INPUT'!R153)*0.10)*$R153*$S153*1.0)</f>
        <v/>
      </c>
      <c r="V153" s="5">
        <f>IF($A153="","",$T153*(1+($3-'WEEKLY INPUT'!S153)*0.10)*$R153*$S153*0.975)</f>
        <v/>
      </c>
      <c r="W153" s="5">
        <f>IF($A153="","",$T153*(1+($3-'WEEKLY INPUT'!T153)*0.10)*$R153*$S153*0.95)</f>
        <v/>
      </c>
      <c r="X153" s="5">
        <f>IF($A153="","",$T153*(1+($3-'WEEKLY INPUT'!U153)*0.10)*$R153*$S153*0.925)</f>
        <v/>
      </c>
      <c r="Y153" s="5">
        <f>IF($A153="","",$T153*(1+($3-'WEEKLY INPUT'!V153)*0.10)*$R153*$S153*0.9)</f>
        <v/>
      </c>
      <c r="Z153" s="5">
        <f>IF($A153="","",$T153*(1+($3-'WEEKLY INPUT'!W153)*0.10)*$R153*$S153*0.875)</f>
        <v/>
      </c>
      <c r="AA153" s="5">
        <f>IF($A153="","",$T153*(1+($3-'WEEKLY INPUT'!X153)*0.10)*$R153*$S153*0.85)</f>
        <v/>
      </c>
      <c r="AB153" s="5">
        <f>IF($A153="","",$T153*(1+($3-'WEEKLY INPUT'!Y153)*0.10)*$R153*$S153*0.825)</f>
        <v/>
      </c>
      <c r="AC153" s="5">
        <f>SUM(U153:AB153)</f>
        <v/>
      </c>
      <c r="AD153" s="5">
        <f>SUM(U153:Z153)</f>
        <v/>
      </c>
      <c r="AE153" s="5">
        <f>IFERROR(AD153/D153,0)</f>
        <v/>
      </c>
      <c r="AF153" s="5">
        <f>MAX(0,1-R153)</f>
        <v/>
      </c>
      <c r="AG153" s="5">
        <f>IFERROR((H153+I153)*R153*(1+0.10*(3-'WEEKLY INPUT'!R153)),"")</f>
        <v/>
      </c>
      <c r="AH153" s="5">
        <f>IFERROR(AG153/SUMPRODUCT($AG$6:$AG$205),"")</f>
        <v/>
      </c>
      <c r="AI153" s="5">
        <f>IFERROR(AD153*(1-AF153*0.5)*(1+0.15*AE153),0)</f>
        <v/>
      </c>
      <c r="AJ153" s="5">
        <f>IF(A153="","",RANK(AI153,$AI$6:$AI$205,0))</f>
        <v/>
      </c>
      <c r="AK153" s="5">
        <f>IFERROR('WEEKLY INPUT'!Z153,"")</f>
        <v/>
      </c>
    </row>
    <row r="154">
      <c r="A154" s="5">
        <f>IFERROR('WEEKLY INPUT'!A154,"")</f>
        <v/>
      </c>
      <c r="B154" s="5">
        <f>IFERROR('WEEKLY INPUT'!B154,"")</f>
        <v/>
      </c>
      <c r="C154" s="5">
        <f>IFERROR('WEEKLY INPUT'!C154,"")</f>
        <v/>
      </c>
      <c r="D154" s="5">
        <f>IFERROR('WEEKLY INPUT'!D154,0)</f>
        <v/>
      </c>
      <c r="E154" s="5">
        <f>IFERROR('WEEKLY INPUT'!E154,0)</f>
        <v/>
      </c>
      <c r="F154" s="5">
        <f>IFERROR('WEEKLY INPUT'!F154,0)</f>
        <v/>
      </c>
      <c r="G154" s="5">
        <f>IFERROR('WEEKLY INPUT'!Q154,0)</f>
        <v/>
      </c>
      <c r="H154" s="5">
        <f>IFERROR('WEEKLY INPUT'!H154/'WEEKLY INPUT'!F154*90,0)</f>
        <v/>
      </c>
      <c r="I154" s="5">
        <f>IFERROR('WEEKLY INPUT'!I154/'WEEKLY INPUT'!F154*90,0)</f>
        <v/>
      </c>
      <c r="J154" s="5">
        <f>H154+I154</f>
        <v/>
      </c>
      <c r="K154" s="5">
        <f>IFERROR('WEEKLY INPUT'!J154/'WEEKLY INPUT'!F154*90,0)</f>
        <v/>
      </c>
      <c r="L154" s="5">
        <f>IFERROR('WEEKLY INPUT'!K154/'WEEKLY INPUT'!F154*90,0)</f>
        <v/>
      </c>
      <c r="M154" s="5">
        <f>IFERROR('WEEKLY INPUT'!L154/'WEEKLY INPUT'!F154*90,0)</f>
        <v/>
      </c>
      <c r="N154" s="5">
        <f>IFERROR('WEEKLY INPUT'!M154/'WEEKLY INPUT'!F154*90,0)</f>
        <v/>
      </c>
      <c r="O154" s="5">
        <f>IFERROR('WEEKLY INPUT'!N154/'WEEKLY INPUT'!F154*90,0)</f>
        <v/>
      </c>
      <c r="P154" s="5">
        <f>IFERROR('WEEKLY INPUT'!O154/'WEEKLY INPUT'!F154*90,0)</f>
        <v/>
      </c>
      <c r="Q154" s="5">
        <f>IFERROR(('WEEKLY INPUT'!J154*2+'WEEKLY INPUT'!K154*1+'WEEKLY INPUT'!O154*0.2)/'WEEKLY INPUT'!F154,0)</f>
        <v/>
      </c>
      <c r="R154" s="5">
        <f>MAX(0.25,MIN(1.15,(F154/540)*0.5+G154*0.5))</f>
        <v/>
      </c>
      <c r="S154" s="5">
        <f>MAX(0.70,MIN(1.10,0.85+0.15*G154))</f>
        <v/>
      </c>
      <c r="T154" s="5">
        <f>IF(A154="","",2*('WEEKLY INPUT'!P154/90)+(H154*5+I154*3)*('WEEKLY INPUT'!P154/90)+(P154*0.15)*('WEEKLY INPUT'!P154/90)+Q154*0.25)</f>
        <v/>
      </c>
      <c r="U154" s="5">
        <f>IF($A154="","",$T154*(1+($3-'WEEKLY INPUT'!R154)*0.10)*$R154*$S154*1.0)</f>
        <v/>
      </c>
      <c r="V154" s="5">
        <f>IF($A154="","",$T154*(1+($3-'WEEKLY INPUT'!S154)*0.10)*$R154*$S154*0.975)</f>
        <v/>
      </c>
      <c r="W154" s="5">
        <f>IF($A154="","",$T154*(1+($3-'WEEKLY INPUT'!T154)*0.10)*$R154*$S154*0.95)</f>
        <v/>
      </c>
      <c r="X154" s="5">
        <f>IF($A154="","",$T154*(1+($3-'WEEKLY INPUT'!U154)*0.10)*$R154*$S154*0.925)</f>
        <v/>
      </c>
      <c r="Y154" s="5">
        <f>IF($A154="","",$T154*(1+($3-'WEEKLY INPUT'!V154)*0.10)*$R154*$S154*0.9)</f>
        <v/>
      </c>
      <c r="Z154" s="5">
        <f>IF($A154="","",$T154*(1+($3-'WEEKLY INPUT'!W154)*0.10)*$R154*$S154*0.875)</f>
        <v/>
      </c>
      <c r="AA154" s="5">
        <f>IF($A154="","",$T154*(1+($3-'WEEKLY INPUT'!X154)*0.10)*$R154*$S154*0.85)</f>
        <v/>
      </c>
      <c r="AB154" s="5">
        <f>IF($A154="","",$T154*(1+($3-'WEEKLY INPUT'!Y154)*0.10)*$R154*$S154*0.825)</f>
        <v/>
      </c>
      <c r="AC154" s="5">
        <f>SUM(U154:AB154)</f>
        <v/>
      </c>
      <c r="AD154" s="5">
        <f>SUM(U154:Z154)</f>
        <v/>
      </c>
      <c r="AE154" s="5">
        <f>IFERROR(AD154/D154,0)</f>
        <v/>
      </c>
      <c r="AF154" s="5">
        <f>MAX(0,1-R154)</f>
        <v/>
      </c>
      <c r="AG154" s="5">
        <f>IFERROR((H154+I154)*R154*(1+0.10*(3-'WEEKLY INPUT'!R154)),"")</f>
        <v/>
      </c>
      <c r="AH154" s="5">
        <f>IFERROR(AG154/SUMPRODUCT($AG$6:$AG$205),"")</f>
        <v/>
      </c>
      <c r="AI154" s="5">
        <f>IFERROR(AD154*(1-AF154*0.5)*(1+0.15*AE154),0)</f>
        <v/>
      </c>
      <c r="AJ154" s="5">
        <f>IF(A154="","",RANK(AI154,$AI$6:$AI$205,0))</f>
        <v/>
      </c>
      <c r="AK154" s="5">
        <f>IFERROR('WEEKLY INPUT'!Z154,"")</f>
        <v/>
      </c>
    </row>
    <row r="155">
      <c r="A155" s="5">
        <f>IFERROR('WEEKLY INPUT'!A155,"")</f>
        <v/>
      </c>
      <c r="B155" s="5">
        <f>IFERROR('WEEKLY INPUT'!B155,"")</f>
        <v/>
      </c>
      <c r="C155" s="5">
        <f>IFERROR('WEEKLY INPUT'!C155,"")</f>
        <v/>
      </c>
      <c r="D155" s="5">
        <f>IFERROR('WEEKLY INPUT'!D155,0)</f>
        <v/>
      </c>
      <c r="E155" s="5">
        <f>IFERROR('WEEKLY INPUT'!E155,0)</f>
        <v/>
      </c>
      <c r="F155" s="5">
        <f>IFERROR('WEEKLY INPUT'!F155,0)</f>
        <v/>
      </c>
      <c r="G155" s="5">
        <f>IFERROR('WEEKLY INPUT'!Q155,0)</f>
        <v/>
      </c>
      <c r="H155" s="5">
        <f>IFERROR('WEEKLY INPUT'!H155/'WEEKLY INPUT'!F155*90,0)</f>
        <v/>
      </c>
      <c r="I155" s="5">
        <f>IFERROR('WEEKLY INPUT'!I155/'WEEKLY INPUT'!F155*90,0)</f>
        <v/>
      </c>
      <c r="J155" s="5">
        <f>H155+I155</f>
        <v/>
      </c>
      <c r="K155" s="5">
        <f>IFERROR('WEEKLY INPUT'!J155/'WEEKLY INPUT'!F155*90,0)</f>
        <v/>
      </c>
      <c r="L155" s="5">
        <f>IFERROR('WEEKLY INPUT'!K155/'WEEKLY INPUT'!F155*90,0)</f>
        <v/>
      </c>
      <c r="M155" s="5">
        <f>IFERROR('WEEKLY INPUT'!L155/'WEEKLY INPUT'!F155*90,0)</f>
        <v/>
      </c>
      <c r="N155" s="5">
        <f>IFERROR('WEEKLY INPUT'!M155/'WEEKLY INPUT'!F155*90,0)</f>
        <v/>
      </c>
      <c r="O155" s="5">
        <f>IFERROR('WEEKLY INPUT'!N155/'WEEKLY INPUT'!F155*90,0)</f>
        <v/>
      </c>
      <c r="P155" s="5">
        <f>IFERROR('WEEKLY INPUT'!O155/'WEEKLY INPUT'!F155*90,0)</f>
        <v/>
      </c>
      <c r="Q155" s="5">
        <f>IFERROR(('WEEKLY INPUT'!J155*2+'WEEKLY INPUT'!K155*1+'WEEKLY INPUT'!O155*0.2)/'WEEKLY INPUT'!F155,0)</f>
        <v/>
      </c>
      <c r="R155" s="5">
        <f>MAX(0.25,MIN(1.15,(F155/540)*0.5+G155*0.5))</f>
        <v/>
      </c>
      <c r="S155" s="5">
        <f>MAX(0.70,MIN(1.10,0.85+0.15*G155))</f>
        <v/>
      </c>
      <c r="T155" s="5">
        <f>IF(A155="","",2*('WEEKLY INPUT'!P155/90)+(H155*5+I155*3)*('WEEKLY INPUT'!P155/90)+(P155*0.15)*('WEEKLY INPUT'!P155/90)+Q155*0.25)</f>
        <v/>
      </c>
      <c r="U155" s="5">
        <f>IF($A155="","",$T155*(1+($3-'WEEKLY INPUT'!R155)*0.10)*$R155*$S155*1.0)</f>
        <v/>
      </c>
      <c r="V155" s="5">
        <f>IF($A155="","",$T155*(1+($3-'WEEKLY INPUT'!S155)*0.10)*$R155*$S155*0.975)</f>
        <v/>
      </c>
      <c r="W155" s="5">
        <f>IF($A155="","",$T155*(1+($3-'WEEKLY INPUT'!T155)*0.10)*$R155*$S155*0.95)</f>
        <v/>
      </c>
      <c r="X155" s="5">
        <f>IF($A155="","",$T155*(1+($3-'WEEKLY INPUT'!U155)*0.10)*$R155*$S155*0.925)</f>
        <v/>
      </c>
      <c r="Y155" s="5">
        <f>IF($A155="","",$T155*(1+($3-'WEEKLY INPUT'!V155)*0.10)*$R155*$S155*0.9)</f>
        <v/>
      </c>
      <c r="Z155" s="5">
        <f>IF($A155="","",$T155*(1+($3-'WEEKLY INPUT'!W155)*0.10)*$R155*$S155*0.875)</f>
        <v/>
      </c>
      <c r="AA155" s="5">
        <f>IF($A155="","",$T155*(1+($3-'WEEKLY INPUT'!X155)*0.10)*$R155*$S155*0.85)</f>
        <v/>
      </c>
      <c r="AB155" s="5">
        <f>IF($A155="","",$T155*(1+($3-'WEEKLY INPUT'!Y155)*0.10)*$R155*$S155*0.825)</f>
        <v/>
      </c>
      <c r="AC155" s="5">
        <f>SUM(U155:AB155)</f>
        <v/>
      </c>
      <c r="AD155" s="5">
        <f>SUM(U155:Z155)</f>
        <v/>
      </c>
      <c r="AE155" s="5">
        <f>IFERROR(AD155/D155,0)</f>
        <v/>
      </c>
      <c r="AF155" s="5">
        <f>MAX(0,1-R155)</f>
        <v/>
      </c>
      <c r="AG155" s="5">
        <f>IFERROR((H155+I155)*R155*(1+0.10*(3-'WEEKLY INPUT'!R155)),"")</f>
        <v/>
      </c>
      <c r="AH155" s="5">
        <f>IFERROR(AG155/SUMPRODUCT($AG$6:$AG$205),"")</f>
        <v/>
      </c>
      <c r="AI155" s="5">
        <f>IFERROR(AD155*(1-AF155*0.5)*(1+0.15*AE155),0)</f>
        <v/>
      </c>
      <c r="AJ155" s="5">
        <f>IF(A155="","",RANK(AI155,$AI$6:$AI$205,0))</f>
        <v/>
      </c>
      <c r="AK155" s="5">
        <f>IFERROR('WEEKLY INPUT'!Z155,"")</f>
        <v/>
      </c>
    </row>
    <row r="156">
      <c r="A156" s="5">
        <f>IFERROR('WEEKLY INPUT'!A156,"")</f>
        <v/>
      </c>
      <c r="B156" s="5">
        <f>IFERROR('WEEKLY INPUT'!B156,"")</f>
        <v/>
      </c>
      <c r="C156" s="5">
        <f>IFERROR('WEEKLY INPUT'!C156,"")</f>
        <v/>
      </c>
      <c r="D156" s="5">
        <f>IFERROR('WEEKLY INPUT'!D156,0)</f>
        <v/>
      </c>
      <c r="E156" s="5">
        <f>IFERROR('WEEKLY INPUT'!E156,0)</f>
        <v/>
      </c>
      <c r="F156" s="5">
        <f>IFERROR('WEEKLY INPUT'!F156,0)</f>
        <v/>
      </c>
      <c r="G156" s="5">
        <f>IFERROR('WEEKLY INPUT'!Q156,0)</f>
        <v/>
      </c>
      <c r="H156" s="5">
        <f>IFERROR('WEEKLY INPUT'!H156/'WEEKLY INPUT'!F156*90,0)</f>
        <v/>
      </c>
      <c r="I156" s="5">
        <f>IFERROR('WEEKLY INPUT'!I156/'WEEKLY INPUT'!F156*90,0)</f>
        <v/>
      </c>
      <c r="J156" s="5">
        <f>H156+I156</f>
        <v/>
      </c>
      <c r="K156" s="5">
        <f>IFERROR('WEEKLY INPUT'!J156/'WEEKLY INPUT'!F156*90,0)</f>
        <v/>
      </c>
      <c r="L156" s="5">
        <f>IFERROR('WEEKLY INPUT'!K156/'WEEKLY INPUT'!F156*90,0)</f>
        <v/>
      </c>
      <c r="M156" s="5">
        <f>IFERROR('WEEKLY INPUT'!L156/'WEEKLY INPUT'!F156*90,0)</f>
        <v/>
      </c>
      <c r="N156" s="5">
        <f>IFERROR('WEEKLY INPUT'!M156/'WEEKLY INPUT'!F156*90,0)</f>
        <v/>
      </c>
      <c r="O156" s="5">
        <f>IFERROR('WEEKLY INPUT'!N156/'WEEKLY INPUT'!F156*90,0)</f>
        <v/>
      </c>
      <c r="P156" s="5">
        <f>IFERROR('WEEKLY INPUT'!O156/'WEEKLY INPUT'!F156*90,0)</f>
        <v/>
      </c>
      <c r="Q156" s="5">
        <f>IFERROR(('WEEKLY INPUT'!J156*2+'WEEKLY INPUT'!K156*1+'WEEKLY INPUT'!O156*0.2)/'WEEKLY INPUT'!F156,0)</f>
        <v/>
      </c>
      <c r="R156" s="5">
        <f>MAX(0.25,MIN(1.15,(F156/540)*0.5+G156*0.5))</f>
        <v/>
      </c>
      <c r="S156" s="5">
        <f>MAX(0.70,MIN(1.10,0.85+0.15*G156))</f>
        <v/>
      </c>
      <c r="T156" s="5">
        <f>IF(A156="","",2*('WEEKLY INPUT'!P156/90)+(H156*5+I156*3)*('WEEKLY INPUT'!P156/90)+(P156*0.15)*('WEEKLY INPUT'!P156/90)+Q156*0.25)</f>
        <v/>
      </c>
      <c r="U156" s="5">
        <f>IF($A156="","",$T156*(1+($3-'WEEKLY INPUT'!R156)*0.10)*$R156*$S156*1.0)</f>
        <v/>
      </c>
      <c r="V156" s="5">
        <f>IF($A156="","",$T156*(1+($3-'WEEKLY INPUT'!S156)*0.10)*$R156*$S156*0.975)</f>
        <v/>
      </c>
      <c r="W156" s="5">
        <f>IF($A156="","",$T156*(1+($3-'WEEKLY INPUT'!T156)*0.10)*$R156*$S156*0.95)</f>
        <v/>
      </c>
      <c r="X156" s="5">
        <f>IF($A156="","",$T156*(1+($3-'WEEKLY INPUT'!U156)*0.10)*$R156*$S156*0.925)</f>
        <v/>
      </c>
      <c r="Y156" s="5">
        <f>IF($A156="","",$T156*(1+($3-'WEEKLY INPUT'!V156)*0.10)*$R156*$S156*0.9)</f>
        <v/>
      </c>
      <c r="Z156" s="5">
        <f>IF($A156="","",$T156*(1+($3-'WEEKLY INPUT'!W156)*0.10)*$R156*$S156*0.875)</f>
        <v/>
      </c>
      <c r="AA156" s="5">
        <f>IF($A156="","",$T156*(1+($3-'WEEKLY INPUT'!X156)*0.10)*$R156*$S156*0.85)</f>
        <v/>
      </c>
      <c r="AB156" s="5">
        <f>IF($A156="","",$T156*(1+($3-'WEEKLY INPUT'!Y156)*0.10)*$R156*$S156*0.825)</f>
        <v/>
      </c>
      <c r="AC156" s="5">
        <f>SUM(U156:AB156)</f>
        <v/>
      </c>
      <c r="AD156" s="5">
        <f>SUM(U156:Z156)</f>
        <v/>
      </c>
      <c r="AE156" s="5">
        <f>IFERROR(AD156/D156,0)</f>
        <v/>
      </c>
      <c r="AF156" s="5">
        <f>MAX(0,1-R156)</f>
        <v/>
      </c>
      <c r="AG156" s="5">
        <f>IFERROR((H156+I156)*R156*(1+0.10*(3-'WEEKLY INPUT'!R156)),"")</f>
        <v/>
      </c>
      <c r="AH156" s="5">
        <f>IFERROR(AG156/SUMPRODUCT($AG$6:$AG$205),"")</f>
        <v/>
      </c>
      <c r="AI156" s="5">
        <f>IFERROR(AD156*(1-AF156*0.5)*(1+0.15*AE156),0)</f>
        <v/>
      </c>
      <c r="AJ156" s="5">
        <f>IF(A156="","",RANK(AI156,$AI$6:$AI$205,0))</f>
        <v/>
      </c>
      <c r="AK156" s="5">
        <f>IFERROR('WEEKLY INPUT'!Z156,"")</f>
        <v/>
      </c>
    </row>
    <row r="157">
      <c r="A157" s="5">
        <f>IFERROR('WEEKLY INPUT'!A157,"")</f>
        <v/>
      </c>
      <c r="B157" s="5">
        <f>IFERROR('WEEKLY INPUT'!B157,"")</f>
        <v/>
      </c>
      <c r="C157" s="5">
        <f>IFERROR('WEEKLY INPUT'!C157,"")</f>
        <v/>
      </c>
      <c r="D157" s="5">
        <f>IFERROR('WEEKLY INPUT'!D157,0)</f>
        <v/>
      </c>
      <c r="E157" s="5">
        <f>IFERROR('WEEKLY INPUT'!E157,0)</f>
        <v/>
      </c>
      <c r="F157" s="5">
        <f>IFERROR('WEEKLY INPUT'!F157,0)</f>
        <v/>
      </c>
      <c r="G157" s="5">
        <f>IFERROR('WEEKLY INPUT'!Q157,0)</f>
        <v/>
      </c>
      <c r="H157" s="5">
        <f>IFERROR('WEEKLY INPUT'!H157/'WEEKLY INPUT'!F157*90,0)</f>
        <v/>
      </c>
      <c r="I157" s="5">
        <f>IFERROR('WEEKLY INPUT'!I157/'WEEKLY INPUT'!F157*90,0)</f>
        <v/>
      </c>
      <c r="J157" s="5">
        <f>H157+I157</f>
        <v/>
      </c>
      <c r="K157" s="5">
        <f>IFERROR('WEEKLY INPUT'!J157/'WEEKLY INPUT'!F157*90,0)</f>
        <v/>
      </c>
      <c r="L157" s="5">
        <f>IFERROR('WEEKLY INPUT'!K157/'WEEKLY INPUT'!F157*90,0)</f>
        <v/>
      </c>
      <c r="M157" s="5">
        <f>IFERROR('WEEKLY INPUT'!L157/'WEEKLY INPUT'!F157*90,0)</f>
        <v/>
      </c>
      <c r="N157" s="5">
        <f>IFERROR('WEEKLY INPUT'!M157/'WEEKLY INPUT'!F157*90,0)</f>
        <v/>
      </c>
      <c r="O157" s="5">
        <f>IFERROR('WEEKLY INPUT'!N157/'WEEKLY INPUT'!F157*90,0)</f>
        <v/>
      </c>
      <c r="P157" s="5">
        <f>IFERROR('WEEKLY INPUT'!O157/'WEEKLY INPUT'!F157*90,0)</f>
        <v/>
      </c>
      <c r="Q157" s="5">
        <f>IFERROR(('WEEKLY INPUT'!J157*2+'WEEKLY INPUT'!K157*1+'WEEKLY INPUT'!O157*0.2)/'WEEKLY INPUT'!F157,0)</f>
        <v/>
      </c>
      <c r="R157" s="5">
        <f>MAX(0.25,MIN(1.15,(F157/540)*0.5+G157*0.5))</f>
        <v/>
      </c>
      <c r="S157" s="5">
        <f>MAX(0.70,MIN(1.10,0.85+0.15*G157))</f>
        <v/>
      </c>
      <c r="T157" s="5">
        <f>IF(A157="","",2*('WEEKLY INPUT'!P157/90)+(H157*5+I157*3)*('WEEKLY INPUT'!P157/90)+(P157*0.15)*('WEEKLY INPUT'!P157/90)+Q157*0.25)</f>
        <v/>
      </c>
      <c r="U157" s="5">
        <f>IF($A157="","",$T157*(1+($3-'WEEKLY INPUT'!R157)*0.10)*$R157*$S157*1.0)</f>
        <v/>
      </c>
      <c r="V157" s="5">
        <f>IF($A157="","",$T157*(1+($3-'WEEKLY INPUT'!S157)*0.10)*$R157*$S157*0.975)</f>
        <v/>
      </c>
      <c r="W157" s="5">
        <f>IF($A157="","",$T157*(1+($3-'WEEKLY INPUT'!T157)*0.10)*$R157*$S157*0.95)</f>
        <v/>
      </c>
      <c r="X157" s="5">
        <f>IF($A157="","",$T157*(1+($3-'WEEKLY INPUT'!U157)*0.10)*$R157*$S157*0.925)</f>
        <v/>
      </c>
      <c r="Y157" s="5">
        <f>IF($A157="","",$T157*(1+($3-'WEEKLY INPUT'!V157)*0.10)*$R157*$S157*0.9)</f>
        <v/>
      </c>
      <c r="Z157" s="5">
        <f>IF($A157="","",$T157*(1+($3-'WEEKLY INPUT'!W157)*0.10)*$R157*$S157*0.875)</f>
        <v/>
      </c>
      <c r="AA157" s="5">
        <f>IF($A157="","",$T157*(1+($3-'WEEKLY INPUT'!X157)*0.10)*$R157*$S157*0.85)</f>
        <v/>
      </c>
      <c r="AB157" s="5">
        <f>IF($A157="","",$T157*(1+($3-'WEEKLY INPUT'!Y157)*0.10)*$R157*$S157*0.825)</f>
        <v/>
      </c>
      <c r="AC157" s="5">
        <f>SUM(U157:AB157)</f>
        <v/>
      </c>
      <c r="AD157" s="5">
        <f>SUM(U157:Z157)</f>
        <v/>
      </c>
      <c r="AE157" s="5">
        <f>IFERROR(AD157/D157,0)</f>
        <v/>
      </c>
      <c r="AF157" s="5">
        <f>MAX(0,1-R157)</f>
        <v/>
      </c>
      <c r="AG157" s="5">
        <f>IFERROR((H157+I157)*R157*(1+0.10*(3-'WEEKLY INPUT'!R157)),"")</f>
        <v/>
      </c>
      <c r="AH157" s="5">
        <f>IFERROR(AG157/SUMPRODUCT($AG$6:$AG$205),"")</f>
        <v/>
      </c>
      <c r="AI157" s="5">
        <f>IFERROR(AD157*(1-AF157*0.5)*(1+0.15*AE157),0)</f>
        <v/>
      </c>
      <c r="AJ157" s="5">
        <f>IF(A157="","",RANK(AI157,$AI$6:$AI$205,0))</f>
        <v/>
      </c>
      <c r="AK157" s="5">
        <f>IFERROR('WEEKLY INPUT'!Z157,"")</f>
        <v/>
      </c>
    </row>
    <row r="158">
      <c r="A158" s="5">
        <f>IFERROR('WEEKLY INPUT'!A158,"")</f>
        <v/>
      </c>
      <c r="B158" s="5">
        <f>IFERROR('WEEKLY INPUT'!B158,"")</f>
        <v/>
      </c>
      <c r="C158" s="5">
        <f>IFERROR('WEEKLY INPUT'!C158,"")</f>
        <v/>
      </c>
      <c r="D158" s="5">
        <f>IFERROR('WEEKLY INPUT'!D158,0)</f>
        <v/>
      </c>
      <c r="E158" s="5">
        <f>IFERROR('WEEKLY INPUT'!E158,0)</f>
        <v/>
      </c>
      <c r="F158" s="5">
        <f>IFERROR('WEEKLY INPUT'!F158,0)</f>
        <v/>
      </c>
      <c r="G158" s="5">
        <f>IFERROR('WEEKLY INPUT'!Q158,0)</f>
        <v/>
      </c>
      <c r="H158" s="5">
        <f>IFERROR('WEEKLY INPUT'!H158/'WEEKLY INPUT'!F158*90,0)</f>
        <v/>
      </c>
      <c r="I158" s="5">
        <f>IFERROR('WEEKLY INPUT'!I158/'WEEKLY INPUT'!F158*90,0)</f>
        <v/>
      </c>
      <c r="J158" s="5">
        <f>H158+I158</f>
        <v/>
      </c>
      <c r="K158" s="5">
        <f>IFERROR('WEEKLY INPUT'!J158/'WEEKLY INPUT'!F158*90,0)</f>
        <v/>
      </c>
      <c r="L158" s="5">
        <f>IFERROR('WEEKLY INPUT'!K158/'WEEKLY INPUT'!F158*90,0)</f>
        <v/>
      </c>
      <c r="M158" s="5">
        <f>IFERROR('WEEKLY INPUT'!L158/'WEEKLY INPUT'!F158*90,0)</f>
        <v/>
      </c>
      <c r="N158" s="5">
        <f>IFERROR('WEEKLY INPUT'!M158/'WEEKLY INPUT'!F158*90,0)</f>
        <v/>
      </c>
      <c r="O158" s="5">
        <f>IFERROR('WEEKLY INPUT'!N158/'WEEKLY INPUT'!F158*90,0)</f>
        <v/>
      </c>
      <c r="P158" s="5">
        <f>IFERROR('WEEKLY INPUT'!O158/'WEEKLY INPUT'!F158*90,0)</f>
        <v/>
      </c>
      <c r="Q158" s="5">
        <f>IFERROR(('WEEKLY INPUT'!J158*2+'WEEKLY INPUT'!K158*1+'WEEKLY INPUT'!O158*0.2)/'WEEKLY INPUT'!F158,0)</f>
        <v/>
      </c>
      <c r="R158" s="5">
        <f>MAX(0.25,MIN(1.15,(F158/540)*0.5+G158*0.5))</f>
        <v/>
      </c>
      <c r="S158" s="5">
        <f>MAX(0.70,MIN(1.10,0.85+0.15*G158))</f>
        <v/>
      </c>
      <c r="T158" s="5">
        <f>IF(A158="","",2*('WEEKLY INPUT'!P158/90)+(H158*5+I158*3)*('WEEKLY INPUT'!P158/90)+(P158*0.15)*('WEEKLY INPUT'!P158/90)+Q158*0.25)</f>
        <v/>
      </c>
      <c r="U158" s="5">
        <f>IF($A158="","",$T158*(1+($3-'WEEKLY INPUT'!R158)*0.10)*$R158*$S158*1.0)</f>
        <v/>
      </c>
      <c r="V158" s="5">
        <f>IF($A158="","",$T158*(1+($3-'WEEKLY INPUT'!S158)*0.10)*$R158*$S158*0.975)</f>
        <v/>
      </c>
      <c r="W158" s="5">
        <f>IF($A158="","",$T158*(1+($3-'WEEKLY INPUT'!T158)*0.10)*$R158*$S158*0.95)</f>
        <v/>
      </c>
      <c r="X158" s="5">
        <f>IF($A158="","",$T158*(1+($3-'WEEKLY INPUT'!U158)*0.10)*$R158*$S158*0.925)</f>
        <v/>
      </c>
      <c r="Y158" s="5">
        <f>IF($A158="","",$T158*(1+($3-'WEEKLY INPUT'!V158)*0.10)*$R158*$S158*0.9)</f>
        <v/>
      </c>
      <c r="Z158" s="5">
        <f>IF($A158="","",$T158*(1+($3-'WEEKLY INPUT'!W158)*0.10)*$R158*$S158*0.875)</f>
        <v/>
      </c>
      <c r="AA158" s="5">
        <f>IF($A158="","",$T158*(1+($3-'WEEKLY INPUT'!X158)*0.10)*$R158*$S158*0.85)</f>
        <v/>
      </c>
      <c r="AB158" s="5">
        <f>IF($A158="","",$T158*(1+($3-'WEEKLY INPUT'!Y158)*0.10)*$R158*$S158*0.825)</f>
        <v/>
      </c>
      <c r="AC158" s="5">
        <f>SUM(U158:AB158)</f>
        <v/>
      </c>
      <c r="AD158" s="5">
        <f>SUM(U158:Z158)</f>
        <v/>
      </c>
      <c r="AE158" s="5">
        <f>IFERROR(AD158/D158,0)</f>
        <v/>
      </c>
      <c r="AF158" s="5">
        <f>MAX(0,1-R158)</f>
        <v/>
      </c>
      <c r="AG158" s="5">
        <f>IFERROR((H158+I158)*R158*(1+0.10*(3-'WEEKLY INPUT'!R158)),"")</f>
        <v/>
      </c>
      <c r="AH158" s="5">
        <f>IFERROR(AG158/SUMPRODUCT($AG$6:$AG$205),"")</f>
        <v/>
      </c>
      <c r="AI158" s="5">
        <f>IFERROR(AD158*(1-AF158*0.5)*(1+0.15*AE158),0)</f>
        <v/>
      </c>
      <c r="AJ158" s="5">
        <f>IF(A158="","",RANK(AI158,$AI$6:$AI$205,0))</f>
        <v/>
      </c>
      <c r="AK158" s="5">
        <f>IFERROR('WEEKLY INPUT'!Z158,"")</f>
        <v/>
      </c>
    </row>
    <row r="159">
      <c r="A159" s="5">
        <f>IFERROR('WEEKLY INPUT'!A159,"")</f>
        <v/>
      </c>
      <c r="B159" s="5">
        <f>IFERROR('WEEKLY INPUT'!B159,"")</f>
        <v/>
      </c>
      <c r="C159" s="5">
        <f>IFERROR('WEEKLY INPUT'!C159,"")</f>
        <v/>
      </c>
      <c r="D159" s="5">
        <f>IFERROR('WEEKLY INPUT'!D159,0)</f>
        <v/>
      </c>
      <c r="E159" s="5">
        <f>IFERROR('WEEKLY INPUT'!E159,0)</f>
        <v/>
      </c>
      <c r="F159" s="5">
        <f>IFERROR('WEEKLY INPUT'!F159,0)</f>
        <v/>
      </c>
      <c r="G159" s="5">
        <f>IFERROR('WEEKLY INPUT'!Q159,0)</f>
        <v/>
      </c>
      <c r="H159" s="5">
        <f>IFERROR('WEEKLY INPUT'!H159/'WEEKLY INPUT'!F159*90,0)</f>
        <v/>
      </c>
      <c r="I159" s="5">
        <f>IFERROR('WEEKLY INPUT'!I159/'WEEKLY INPUT'!F159*90,0)</f>
        <v/>
      </c>
      <c r="J159" s="5">
        <f>H159+I159</f>
        <v/>
      </c>
      <c r="K159" s="5">
        <f>IFERROR('WEEKLY INPUT'!J159/'WEEKLY INPUT'!F159*90,0)</f>
        <v/>
      </c>
      <c r="L159" s="5">
        <f>IFERROR('WEEKLY INPUT'!K159/'WEEKLY INPUT'!F159*90,0)</f>
        <v/>
      </c>
      <c r="M159" s="5">
        <f>IFERROR('WEEKLY INPUT'!L159/'WEEKLY INPUT'!F159*90,0)</f>
        <v/>
      </c>
      <c r="N159" s="5">
        <f>IFERROR('WEEKLY INPUT'!M159/'WEEKLY INPUT'!F159*90,0)</f>
        <v/>
      </c>
      <c r="O159" s="5">
        <f>IFERROR('WEEKLY INPUT'!N159/'WEEKLY INPUT'!F159*90,0)</f>
        <v/>
      </c>
      <c r="P159" s="5">
        <f>IFERROR('WEEKLY INPUT'!O159/'WEEKLY INPUT'!F159*90,0)</f>
        <v/>
      </c>
      <c r="Q159" s="5">
        <f>IFERROR(('WEEKLY INPUT'!J159*2+'WEEKLY INPUT'!K159*1+'WEEKLY INPUT'!O159*0.2)/'WEEKLY INPUT'!F159,0)</f>
        <v/>
      </c>
      <c r="R159" s="5">
        <f>MAX(0.25,MIN(1.15,(F159/540)*0.5+G159*0.5))</f>
        <v/>
      </c>
      <c r="S159" s="5">
        <f>MAX(0.70,MIN(1.10,0.85+0.15*G159))</f>
        <v/>
      </c>
      <c r="T159" s="5">
        <f>IF(A159="","",2*('WEEKLY INPUT'!P159/90)+(H159*5+I159*3)*('WEEKLY INPUT'!P159/90)+(P159*0.15)*('WEEKLY INPUT'!P159/90)+Q159*0.25)</f>
        <v/>
      </c>
      <c r="U159" s="5">
        <f>IF($A159="","",$T159*(1+($3-'WEEKLY INPUT'!R159)*0.10)*$R159*$S159*1.0)</f>
        <v/>
      </c>
      <c r="V159" s="5">
        <f>IF($A159="","",$T159*(1+($3-'WEEKLY INPUT'!S159)*0.10)*$R159*$S159*0.975)</f>
        <v/>
      </c>
      <c r="W159" s="5">
        <f>IF($A159="","",$T159*(1+($3-'WEEKLY INPUT'!T159)*0.10)*$R159*$S159*0.95)</f>
        <v/>
      </c>
      <c r="X159" s="5">
        <f>IF($A159="","",$T159*(1+($3-'WEEKLY INPUT'!U159)*0.10)*$R159*$S159*0.925)</f>
        <v/>
      </c>
      <c r="Y159" s="5">
        <f>IF($A159="","",$T159*(1+($3-'WEEKLY INPUT'!V159)*0.10)*$R159*$S159*0.9)</f>
        <v/>
      </c>
      <c r="Z159" s="5">
        <f>IF($A159="","",$T159*(1+($3-'WEEKLY INPUT'!W159)*0.10)*$R159*$S159*0.875)</f>
        <v/>
      </c>
      <c r="AA159" s="5">
        <f>IF($A159="","",$T159*(1+($3-'WEEKLY INPUT'!X159)*0.10)*$R159*$S159*0.85)</f>
        <v/>
      </c>
      <c r="AB159" s="5">
        <f>IF($A159="","",$T159*(1+($3-'WEEKLY INPUT'!Y159)*0.10)*$R159*$S159*0.825)</f>
        <v/>
      </c>
      <c r="AC159" s="5">
        <f>SUM(U159:AB159)</f>
        <v/>
      </c>
      <c r="AD159" s="5">
        <f>SUM(U159:Z159)</f>
        <v/>
      </c>
      <c r="AE159" s="5">
        <f>IFERROR(AD159/D159,0)</f>
        <v/>
      </c>
      <c r="AF159" s="5">
        <f>MAX(0,1-R159)</f>
        <v/>
      </c>
      <c r="AG159" s="5">
        <f>IFERROR((H159+I159)*R159*(1+0.10*(3-'WEEKLY INPUT'!R159)),"")</f>
        <v/>
      </c>
      <c r="AH159" s="5">
        <f>IFERROR(AG159/SUMPRODUCT($AG$6:$AG$205),"")</f>
        <v/>
      </c>
      <c r="AI159" s="5">
        <f>IFERROR(AD159*(1-AF159*0.5)*(1+0.15*AE159),0)</f>
        <v/>
      </c>
      <c r="AJ159" s="5">
        <f>IF(A159="","",RANK(AI159,$AI$6:$AI$205,0))</f>
        <v/>
      </c>
      <c r="AK159" s="5">
        <f>IFERROR('WEEKLY INPUT'!Z159,"")</f>
        <v/>
      </c>
    </row>
    <row r="160">
      <c r="A160" s="5">
        <f>IFERROR('WEEKLY INPUT'!A160,"")</f>
        <v/>
      </c>
      <c r="B160" s="5">
        <f>IFERROR('WEEKLY INPUT'!B160,"")</f>
        <v/>
      </c>
      <c r="C160" s="5">
        <f>IFERROR('WEEKLY INPUT'!C160,"")</f>
        <v/>
      </c>
      <c r="D160" s="5">
        <f>IFERROR('WEEKLY INPUT'!D160,0)</f>
        <v/>
      </c>
      <c r="E160" s="5">
        <f>IFERROR('WEEKLY INPUT'!E160,0)</f>
        <v/>
      </c>
      <c r="F160" s="5">
        <f>IFERROR('WEEKLY INPUT'!F160,0)</f>
        <v/>
      </c>
      <c r="G160" s="5">
        <f>IFERROR('WEEKLY INPUT'!Q160,0)</f>
        <v/>
      </c>
      <c r="H160" s="5">
        <f>IFERROR('WEEKLY INPUT'!H160/'WEEKLY INPUT'!F160*90,0)</f>
        <v/>
      </c>
      <c r="I160" s="5">
        <f>IFERROR('WEEKLY INPUT'!I160/'WEEKLY INPUT'!F160*90,0)</f>
        <v/>
      </c>
      <c r="J160" s="5">
        <f>H160+I160</f>
        <v/>
      </c>
      <c r="K160" s="5">
        <f>IFERROR('WEEKLY INPUT'!J160/'WEEKLY INPUT'!F160*90,0)</f>
        <v/>
      </c>
      <c r="L160" s="5">
        <f>IFERROR('WEEKLY INPUT'!K160/'WEEKLY INPUT'!F160*90,0)</f>
        <v/>
      </c>
      <c r="M160" s="5">
        <f>IFERROR('WEEKLY INPUT'!L160/'WEEKLY INPUT'!F160*90,0)</f>
        <v/>
      </c>
      <c r="N160" s="5">
        <f>IFERROR('WEEKLY INPUT'!M160/'WEEKLY INPUT'!F160*90,0)</f>
        <v/>
      </c>
      <c r="O160" s="5">
        <f>IFERROR('WEEKLY INPUT'!N160/'WEEKLY INPUT'!F160*90,0)</f>
        <v/>
      </c>
      <c r="P160" s="5">
        <f>IFERROR('WEEKLY INPUT'!O160/'WEEKLY INPUT'!F160*90,0)</f>
        <v/>
      </c>
      <c r="Q160" s="5">
        <f>IFERROR(('WEEKLY INPUT'!J160*2+'WEEKLY INPUT'!K160*1+'WEEKLY INPUT'!O160*0.2)/'WEEKLY INPUT'!F160,0)</f>
        <v/>
      </c>
      <c r="R160" s="5">
        <f>MAX(0.25,MIN(1.15,(F160/540)*0.5+G160*0.5))</f>
        <v/>
      </c>
      <c r="S160" s="5">
        <f>MAX(0.70,MIN(1.10,0.85+0.15*G160))</f>
        <v/>
      </c>
      <c r="T160" s="5">
        <f>IF(A160="","",2*('WEEKLY INPUT'!P160/90)+(H160*5+I160*3)*('WEEKLY INPUT'!P160/90)+(P160*0.15)*('WEEKLY INPUT'!P160/90)+Q160*0.25)</f>
        <v/>
      </c>
      <c r="U160" s="5">
        <f>IF($A160="","",$T160*(1+($3-'WEEKLY INPUT'!R160)*0.10)*$R160*$S160*1.0)</f>
        <v/>
      </c>
      <c r="V160" s="5">
        <f>IF($A160="","",$T160*(1+($3-'WEEKLY INPUT'!S160)*0.10)*$R160*$S160*0.975)</f>
        <v/>
      </c>
      <c r="W160" s="5">
        <f>IF($A160="","",$T160*(1+($3-'WEEKLY INPUT'!T160)*0.10)*$R160*$S160*0.95)</f>
        <v/>
      </c>
      <c r="X160" s="5">
        <f>IF($A160="","",$T160*(1+($3-'WEEKLY INPUT'!U160)*0.10)*$R160*$S160*0.925)</f>
        <v/>
      </c>
      <c r="Y160" s="5">
        <f>IF($A160="","",$T160*(1+($3-'WEEKLY INPUT'!V160)*0.10)*$R160*$S160*0.9)</f>
        <v/>
      </c>
      <c r="Z160" s="5">
        <f>IF($A160="","",$T160*(1+($3-'WEEKLY INPUT'!W160)*0.10)*$R160*$S160*0.875)</f>
        <v/>
      </c>
      <c r="AA160" s="5">
        <f>IF($A160="","",$T160*(1+($3-'WEEKLY INPUT'!X160)*0.10)*$R160*$S160*0.85)</f>
        <v/>
      </c>
      <c r="AB160" s="5">
        <f>IF($A160="","",$T160*(1+($3-'WEEKLY INPUT'!Y160)*0.10)*$R160*$S160*0.825)</f>
        <v/>
      </c>
      <c r="AC160" s="5">
        <f>SUM(U160:AB160)</f>
        <v/>
      </c>
      <c r="AD160" s="5">
        <f>SUM(U160:Z160)</f>
        <v/>
      </c>
      <c r="AE160" s="5">
        <f>IFERROR(AD160/D160,0)</f>
        <v/>
      </c>
      <c r="AF160" s="5">
        <f>MAX(0,1-R160)</f>
        <v/>
      </c>
      <c r="AG160" s="5">
        <f>IFERROR((H160+I160)*R160*(1+0.10*(3-'WEEKLY INPUT'!R160)),"")</f>
        <v/>
      </c>
      <c r="AH160" s="5">
        <f>IFERROR(AG160/SUMPRODUCT($AG$6:$AG$205),"")</f>
        <v/>
      </c>
      <c r="AI160" s="5">
        <f>IFERROR(AD160*(1-AF160*0.5)*(1+0.15*AE160),0)</f>
        <v/>
      </c>
      <c r="AJ160" s="5">
        <f>IF(A160="","",RANK(AI160,$AI$6:$AI$205,0))</f>
        <v/>
      </c>
      <c r="AK160" s="5">
        <f>IFERROR('WEEKLY INPUT'!Z160,"")</f>
        <v/>
      </c>
    </row>
    <row r="161">
      <c r="A161" s="5">
        <f>IFERROR('WEEKLY INPUT'!A161,"")</f>
        <v/>
      </c>
      <c r="B161" s="5">
        <f>IFERROR('WEEKLY INPUT'!B161,"")</f>
        <v/>
      </c>
      <c r="C161" s="5">
        <f>IFERROR('WEEKLY INPUT'!C161,"")</f>
        <v/>
      </c>
      <c r="D161" s="5">
        <f>IFERROR('WEEKLY INPUT'!D161,0)</f>
        <v/>
      </c>
      <c r="E161" s="5">
        <f>IFERROR('WEEKLY INPUT'!E161,0)</f>
        <v/>
      </c>
      <c r="F161" s="5">
        <f>IFERROR('WEEKLY INPUT'!F161,0)</f>
        <v/>
      </c>
      <c r="G161" s="5">
        <f>IFERROR('WEEKLY INPUT'!Q161,0)</f>
        <v/>
      </c>
      <c r="H161" s="5">
        <f>IFERROR('WEEKLY INPUT'!H161/'WEEKLY INPUT'!F161*90,0)</f>
        <v/>
      </c>
      <c r="I161" s="5">
        <f>IFERROR('WEEKLY INPUT'!I161/'WEEKLY INPUT'!F161*90,0)</f>
        <v/>
      </c>
      <c r="J161" s="5">
        <f>H161+I161</f>
        <v/>
      </c>
      <c r="K161" s="5">
        <f>IFERROR('WEEKLY INPUT'!J161/'WEEKLY INPUT'!F161*90,0)</f>
        <v/>
      </c>
      <c r="L161" s="5">
        <f>IFERROR('WEEKLY INPUT'!K161/'WEEKLY INPUT'!F161*90,0)</f>
        <v/>
      </c>
      <c r="M161" s="5">
        <f>IFERROR('WEEKLY INPUT'!L161/'WEEKLY INPUT'!F161*90,0)</f>
        <v/>
      </c>
      <c r="N161" s="5">
        <f>IFERROR('WEEKLY INPUT'!M161/'WEEKLY INPUT'!F161*90,0)</f>
        <v/>
      </c>
      <c r="O161" s="5">
        <f>IFERROR('WEEKLY INPUT'!N161/'WEEKLY INPUT'!F161*90,0)</f>
        <v/>
      </c>
      <c r="P161" s="5">
        <f>IFERROR('WEEKLY INPUT'!O161/'WEEKLY INPUT'!F161*90,0)</f>
        <v/>
      </c>
      <c r="Q161" s="5">
        <f>IFERROR(('WEEKLY INPUT'!J161*2+'WEEKLY INPUT'!K161*1+'WEEKLY INPUT'!O161*0.2)/'WEEKLY INPUT'!F161,0)</f>
        <v/>
      </c>
      <c r="R161" s="5">
        <f>MAX(0.25,MIN(1.15,(F161/540)*0.5+G161*0.5))</f>
        <v/>
      </c>
      <c r="S161" s="5">
        <f>MAX(0.70,MIN(1.10,0.85+0.15*G161))</f>
        <v/>
      </c>
      <c r="T161" s="5">
        <f>IF(A161="","",2*('WEEKLY INPUT'!P161/90)+(H161*5+I161*3)*('WEEKLY INPUT'!P161/90)+(P161*0.15)*('WEEKLY INPUT'!P161/90)+Q161*0.25)</f>
        <v/>
      </c>
      <c r="U161" s="5">
        <f>IF($A161="","",$T161*(1+($3-'WEEKLY INPUT'!R161)*0.10)*$R161*$S161*1.0)</f>
        <v/>
      </c>
      <c r="V161" s="5">
        <f>IF($A161="","",$T161*(1+($3-'WEEKLY INPUT'!S161)*0.10)*$R161*$S161*0.975)</f>
        <v/>
      </c>
      <c r="W161" s="5">
        <f>IF($A161="","",$T161*(1+($3-'WEEKLY INPUT'!T161)*0.10)*$R161*$S161*0.95)</f>
        <v/>
      </c>
      <c r="X161" s="5">
        <f>IF($A161="","",$T161*(1+($3-'WEEKLY INPUT'!U161)*0.10)*$R161*$S161*0.925)</f>
        <v/>
      </c>
      <c r="Y161" s="5">
        <f>IF($A161="","",$T161*(1+($3-'WEEKLY INPUT'!V161)*0.10)*$R161*$S161*0.9)</f>
        <v/>
      </c>
      <c r="Z161" s="5">
        <f>IF($A161="","",$T161*(1+($3-'WEEKLY INPUT'!W161)*0.10)*$R161*$S161*0.875)</f>
        <v/>
      </c>
      <c r="AA161" s="5">
        <f>IF($A161="","",$T161*(1+($3-'WEEKLY INPUT'!X161)*0.10)*$R161*$S161*0.85)</f>
        <v/>
      </c>
      <c r="AB161" s="5">
        <f>IF($A161="","",$T161*(1+($3-'WEEKLY INPUT'!Y161)*0.10)*$R161*$S161*0.825)</f>
        <v/>
      </c>
      <c r="AC161" s="5">
        <f>SUM(U161:AB161)</f>
        <v/>
      </c>
      <c r="AD161" s="5">
        <f>SUM(U161:Z161)</f>
        <v/>
      </c>
      <c r="AE161" s="5">
        <f>IFERROR(AD161/D161,0)</f>
        <v/>
      </c>
      <c r="AF161" s="5">
        <f>MAX(0,1-R161)</f>
        <v/>
      </c>
      <c r="AG161" s="5">
        <f>IFERROR((H161+I161)*R161*(1+0.10*(3-'WEEKLY INPUT'!R161)),"")</f>
        <v/>
      </c>
      <c r="AH161" s="5">
        <f>IFERROR(AG161/SUMPRODUCT($AG$6:$AG$205),"")</f>
        <v/>
      </c>
      <c r="AI161" s="5">
        <f>IFERROR(AD161*(1-AF161*0.5)*(1+0.15*AE161),0)</f>
        <v/>
      </c>
      <c r="AJ161" s="5">
        <f>IF(A161="","",RANK(AI161,$AI$6:$AI$205,0))</f>
        <v/>
      </c>
      <c r="AK161" s="5">
        <f>IFERROR('WEEKLY INPUT'!Z161,"")</f>
        <v/>
      </c>
    </row>
    <row r="162">
      <c r="A162" s="5">
        <f>IFERROR('WEEKLY INPUT'!A162,"")</f>
        <v/>
      </c>
      <c r="B162" s="5">
        <f>IFERROR('WEEKLY INPUT'!B162,"")</f>
        <v/>
      </c>
      <c r="C162" s="5">
        <f>IFERROR('WEEKLY INPUT'!C162,"")</f>
        <v/>
      </c>
      <c r="D162" s="5">
        <f>IFERROR('WEEKLY INPUT'!D162,0)</f>
        <v/>
      </c>
      <c r="E162" s="5">
        <f>IFERROR('WEEKLY INPUT'!E162,0)</f>
        <v/>
      </c>
      <c r="F162" s="5">
        <f>IFERROR('WEEKLY INPUT'!F162,0)</f>
        <v/>
      </c>
      <c r="G162" s="5">
        <f>IFERROR('WEEKLY INPUT'!Q162,0)</f>
        <v/>
      </c>
      <c r="H162" s="5">
        <f>IFERROR('WEEKLY INPUT'!H162/'WEEKLY INPUT'!F162*90,0)</f>
        <v/>
      </c>
      <c r="I162" s="5">
        <f>IFERROR('WEEKLY INPUT'!I162/'WEEKLY INPUT'!F162*90,0)</f>
        <v/>
      </c>
      <c r="J162" s="5">
        <f>H162+I162</f>
        <v/>
      </c>
      <c r="K162" s="5">
        <f>IFERROR('WEEKLY INPUT'!J162/'WEEKLY INPUT'!F162*90,0)</f>
        <v/>
      </c>
      <c r="L162" s="5">
        <f>IFERROR('WEEKLY INPUT'!K162/'WEEKLY INPUT'!F162*90,0)</f>
        <v/>
      </c>
      <c r="M162" s="5">
        <f>IFERROR('WEEKLY INPUT'!L162/'WEEKLY INPUT'!F162*90,0)</f>
        <v/>
      </c>
      <c r="N162" s="5">
        <f>IFERROR('WEEKLY INPUT'!M162/'WEEKLY INPUT'!F162*90,0)</f>
        <v/>
      </c>
      <c r="O162" s="5">
        <f>IFERROR('WEEKLY INPUT'!N162/'WEEKLY INPUT'!F162*90,0)</f>
        <v/>
      </c>
      <c r="P162" s="5">
        <f>IFERROR('WEEKLY INPUT'!O162/'WEEKLY INPUT'!F162*90,0)</f>
        <v/>
      </c>
      <c r="Q162" s="5">
        <f>IFERROR(('WEEKLY INPUT'!J162*2+'WEEKLY INPUT'!K162*1+'WEEKLY INPUT'!O162*0.2)/'WEEKLY INPUT'!F162,0)</f>
        <v/>
      </c>
      <c r="R162" s="5">
        <f>MAX(0.25,MIN(1.15,(F162/540)*0.5+G162*0.5))</f>
        <v/>
      </c>
      <c r="S162" s="5">
        <f>MAX(0.70,MIN(1.10,0.85+0.15*G162))</f>
        <v/>
      </c>
      <c r="T162" s="5">
        <f>IF(A162="","",2*('WEEKLY INPUT'!P162/90)+(H162*5+I162*3)*('WEEKLY INPUT'!P162/90)+(P162*0.15)*('WEEKLY INPUT'!P162/90)+Q162*0.25)</f>
        <v/>
      </c>
      <c r="U162" s="5">
        <f>IF($A162="","",$T162*(1+($3-'WEEKLY INPUT'!R162)*0.10)*$R162*$S162*1.0)</f>
        <v/>
      </c>
      <c r="V162" s="5">
        <f>IF($A162="","",$T162*(1+($3-'WEEKLY INPUT'!S162)*0.10)*$R162*$S162*0.975)</f>
        <v/>
      </c>
      <c r="W162" s="5">
        <f>IF($A162="","",$T162*(1+($3-'WEEKLY INPUT'!T162)*0.10)*$R162*$S162*0.95)</f>
        <v/>
      </c>
      <c r="X162" s="5">
        <f>IF($A162="","",$T162*(1+($3-'WEEKLY INPUT'!U162)*0.10)*$R162*$S162*0.925)</f>
        <v/>
      </c>
      <c r="Y162" s="5">
        <f>IF($A162="","",$T162*(1+($3-'WEEKLY INPUT'!V162)*0.10)*$R162*$S162*0.9)</f>
        <v/>
      </c>
      <c r="Z162" s="5">
        <f>IF($A162="","",$T162*(1+($3-'WEEKLY INPUT'!W162)*0.10)*$R162*$S162*0.875)</f>
        <v/>
      </c>
      <c r="AA162" s="5">
        <f>IF($A162="","",$T162*(1+($3-'WEEKLY INPUT'!X162)*0.10)*$R162*$S162*0.85)</f>
        <v/>
      </c>
      <c r="AB162" s="5">
        <f>IF($A162="","",$T162*(1+($3-'WEEKLY INPUT'!Y162)*0.10)*$R162*$S162*0.825)</f>
        <v/>
      </c>
      <c r="AC162" s="5">
        <f>SUM(U162:AB162)</f>
        <v/>
      </c>
      <c r="AD162" s="5">
        <f>SUM(U162:Z162)</f>
        <v/>
      </c>
      <c r="AE162" s="5">
        <f>IFERROR(AD162/D162,0)</f>
        <v/>
      </c>
      <c r="AF162" s="5">
        <f>MAX(0,1-R162)</f>
        <v/>
      </c>
      <c r="AG162" s="5">
        <f>IFERROR((H162+I162)*R162*(1+0.10*(3-'WEEKLY INPUT'!R162)),"")</f>
        <v/>
      </c>
      <c r="AH162" s="5">
        <f>IFERROR(AG162/SUMPRODUCT($AG$6:$AG$205),"")</f>
        <v/>
      </c>
      <c r="AI162" s="5">
        <f>IFERROR(AD162*(1-AF162*0.5)*(1+0.15*AE162),0)</f>
        <v/>
      </c>
      <c r="AJ162" s="5">
        <f>IF(A162="","",RANK(AI162,$AI$6:$AI$205,0))</f>
        <v/>
      </c>
      <c r="AK162" s="5">
        <f>IFERROR('WEEKLY INPUT'!Z162,"")</f>
        <v/>
      </c>
    </row>
    <row r="163">
      <c r="A163" s="5">
        <f>IFERROR('WEEKLY INPUT'!A163,"")</f>
        <v/>
      </c>
      <c r="B163" s="5">
        <f>IFERROR('WEEKLY INPUT'!B163,"")</f>
        <v/>
      </c>
      <c r="C163" s="5">
        <f>IFERROR('WEEKLY INPUT'!C163,"")</f>
        <v/>
      </c>
      <c r="D163" s="5">
        <f>IFERROR('WEEKLY INPUT'!D163,0)</f>
        <v/>
      </c>
      <c r="E163" s="5">
        <f>IFERROR('WEEKLY INPUT'!E163,0)</f>
        <v/>
      </c>
      <c r="F163" s="5">
        <f>IFERROR('WEEKLY INPUT'!F163,0)</f>
        <v/>
      </c>
      <c r="G163" s="5">
        <f>IFERROR('WEEKLY INPUT'!Q163,0)</f>
        <v/>
      </c>
      <c r="H163" s="5">
        <f>IFERROR('WEEKLY INPUT'!H163/'WEEKLY INPUT'!F163*90,0)</f>
        <v/>
      </c>
      <c r="I163" s="5">
        <f>IFERROR('WEEKLY INPUT'!I163/'WEEKLY INPUT'!F163*90,0)</f>
        <v/>
      </c>
      <c r="J163" s="5">
        <f>H163+I163</f>
        <v/>
      </c>
      <c r="K163" s="5">
        <f>IFERROR('WEEKLY INPUT'!J163/'WEEKLY INPUT'!F163*90,0)</f>
        <v/>
      </c>
      <c r="L163" s="5">
        <f>IFERROR('WEEKLY INPUT'!K163/'WEEKLY INPUT'!F163*90,0)</f>
        <v/>
      </c>
      <c r="M163" s="5">
        <f>IFERROR('WEEKLY INPUT'!L163/'WEEKLY INPUT'!F163*90,0)</f>
        <v/>
      </c>
      <c r="N163" s="5">
        <f>IFERROR('WEEKLY INPUT'!M163/'WEEKLY INPUT'!F163*90,0)</f>
        <v/>
      </c>
      <c r="O163" s="5">
        <f>IFERROR('WEEKLY INPUT'!N163/'WEEKLY INPUT'!F163*90,0)</f>
        <v/>
      </c>
      <c r="P163" s="5">
        <f>IFERROR('WEEKLY INPUT'!O163/'WEEKLY INPUT'!F163*90,0)</f>
        <v/>
      </c>
      <c r="Q163" s="5">
        <f>IFERROR(('WEEKLY INPUT'!J163*2+'WEEKLY INPUT'!K163*1+'WEEKLY INPUT'!O163*0.2)/'WEEKLY INPUT'!F163,0)</f>
        <v/>
      </c>
      <c r="R163" s="5">
        <f>MAX(0.25,MIN(1.15,(F163/540)*0.5+G163*0.5))</f>
        <v/>
      </c>
      <c r="S163" s="5">
        <f>MAX(0.70,MIN(1.10,0.85+0.15*G163))</f>
        <v/>
      </c>
      <c r="T163" s="5">
        <f>IF(A163="","",2*('WEEKLY INPUT'!P163/90)+(H163*5+I163*3)*('WEEKLY INPUT'!P163/90)+(P163*0.15)*('WEEKLY INPUT'!P163/90)+Q163*0.25)</f>
        <v/>
      </c>
      <c r="U163" s="5">
        <f>IF($A163="","",$T163*(1+($3-'WEEKLY INPUT'!R163)*0.10)*$R163*$S163*1.0)</f>
        <v/>
      </c>
      <c r="V163" s="5">
        <f>IF($A163="","",$T163*(1+($3-'WEEKLY INPUT'!S163)*0.10)*$R163*$S163*0.975)</f>
        <v/>
      </c>
      <c r="W163" s="5">
        <f>IF($A163="","",$T163*(1+($3-'WEEKLY INPUT'!T163)*0.10)*$R163*$S163*0.95)</f>
        <v/>
      </c>
      <c r="X163" s="5">
        <f>IF($A163="","",$T163*(1+($3-'WEEKLY INPUT'!U163)*0.10)*$R163*$S163*0.925)</f>
        <v/>
      </c>
      <c r="Y163" s="5">
        <f>IF($A163="","",$T163*(1+($3-'WEEKLY INPUT'!V163)*0.10)*$R163*$S163*0.9)</f>
        <v/>
      </c>
      <c r="Z163" s="5">
        <f>IF($A163="","",$T163*(1+($3-'WEEKLY INPUT'!W163)*0.10)*$R163*$S163*0.875)</f>
        <v/>
      </c>
      <c r="AA163" s="5">
        <f>IF($A163="","",$T163*(1+($3-'WEEKLY INPUT'!X163)*0.10)*$R163*$S163*0.85)</f>
        <v/>
      </c>
      <c r="AB163" s="5">
        <f>IF($A163="","",$T163*(1+($3-'WEEKLY INPUT'!Y163)*0.10)*$R163*$S163*0.825)</f>
        <v/>
      </c>
      <c r="AC163" s="5">
        <f>SUM(U163:AB163)</f>
        <v/>
      </c>
      <c r="AD163" s="5">
        <f>SUM(U163:Z163)</f>
        <v/>
      </c>
      <c r="AE163" s="5">
        <f>IFERROR(AD163/D163,0)</f>
        <v/>
      </c>
      <c r="AF163" s="5">
        <f>MAX(0,1-R163)</f>
        <v/>
      </c>
      <c r="AG163" s="5">
        <f>IFERROR((H163+I163)*R163*(1+0.10*(3-'WEEKLY INPUT'!R163)),"")</f>
        <v/>
      </c>
      <c r="AH163" s="5">
        <f>IFERROR(AG163/SUMPRODUCT($AG$6:$AG$205),"")</f>
        <v/>
      </c>
      <c r="AI163" s="5">
        <f>IFERROR(AD163*(1-AF163*0.5)*(1+0.15*AE163),0)</f>
        <v/>
      </c>
      <c r="AJ163" s="5">
        <f>IF(A163="","",RANK(AI163,$AI$6:$AI$205,0))</f>
        <v/>
      </c>
      <c r="AK163" s="5">
        <f>IFERROR('WEEKLY INPUT'!Z163,"")</f>
        <v/>
      </c>
    </row>
    <row r="164">
      <c r="A164" s="5">
        <f>IFERROR('WEEKLY INPUT'!A164,"")</f>
        <v/>
      </c>
      <c r="B164" s="5">
        <f>IFERROR('WEEKLY INPUT'!B164,"")</f>
        <v/>
      </c>
      <c r="C164" s="5">
        <f>IFERROR('WEEKLY INPUT'!C164,"")</f>
        <v/>
      </c>
      <c r="D164" s="5">
        <f>IFERROR('WEEKLY INPUT'!D164,0)</f>
        <v/>
      </c>
      <c r="E164" s="5">
        <f>IFERROR('WEEKLY INPUT'!E164,0)</f>
        <v/>
      </c>
      <c r="F164" s="5">
        <f>IFERROR('WEEKLY INPUT'!F164,0)</f>
        <v/>
      </c>
      <c r="G164" s="5">
        <f>IFERROR('WEEKLY INPUT'!Q164,0)</f>
        <v/>
      </c>
      <c r="H164" s="5">
        <f>IFERROR('WEEKLY INPUT'!H164/'WEEKLY INPUT'!F164*90,0)</f>
        <v/>
      </c>
      <c r="I164" s="5">
        <f>IFERROR('WEEKLY INPUT'!I164/'WEEKLY INPUT'!F164*90,0)</f>
        <v/>
      </c>
      <c r="J164" s="5">
        <f>H164+I164</f>
        <v/>
      </c>
      <c r="K164" s="5">
        <f>IFERROR('WEEKLY INPUT'!J164/'WEEKLY INPUT'!F164*90,0)</f>
        <v/>
      </c>
      <c r="L164" s="5">
        <f>IFERROR('WEEKLY INPUT'!K164/'WEEKLY INPUT'!F164*90,0)</f>
        <v/>
      </c>
      <c r="M164" s="5">
        <f>IFERROR('WEEKLY INPUT'!L164/'WEEKLY INPUT'!F164*90,0)</f>
        <v/>
      </c>
      <c r="N164" s="5">
        <f>IFERROR('WEEKLY INPUT'!M164/'WEEKLY INPUT'!F164*90,0)</f>
        <v/>
      </c>
      <c r="O164" s="5">
        <f>IFERROR('WEEKLY INPUT'!N164/'WEEKLY INPUT'!F164*90,0)</f>
        <v/>
      </c>
      <c r="P164" s="5">
        <f>IFERROR('WEEKLY INPUT'!O164/'WEEKLY INPUT'!F164*90,0)</f>
        <v/>
      </c>
      <c r="Q164" s="5">
        <f>IFERROR(('WEEKLY INPUT'!J164*2+'WEEKLY INPUT'!K164*1+'WEEKLY INPUT'!O164*0.2)/'WEEKLY INPUT'!F164,0)</f>
        <v/>
      </c>
      <c r="R164" s="5">
        <f>MAX(0.25,MIN(1.15,(F164/540)*0.5+G164*0.5))</f>
        <v/>
      </c>
      <c r="S164" s="5">
        <f>MAX(0.70,MIN(1.10,0.85+0.15*G164))</f>
        <v/>
      </c>
      <c r="T164" s="5">
        <f>IF(A164="","",2*('WEEKLY INPUT'!P164/90)+(H164*5+I164*3)*('WEEKLY INPUT'!P164/90)+(P164*0.15)*('WEEKLY INPUT'!P164/90)+Q164*0.25)</f>
        <v/>
      </c>
      <c r="U164" s="5">
        <f>IF($A164="","",$T164*(1+($3-'WEEKLY INPUT'!R164)*0.10)*$R164*$S164*1.0)</f>
        <v/>
      </c>
      <c r="V164" s="5">
        <f>IF($A164="","",$T164*(1+($3-'WEEKLY INPUT'!S164)*0.10)*$R164*$S164*0.975)</f>
        <v/>
      </c>
      <c r="W164" s="5">
        <f>IF($A164="","",$T164*(1+($3-'WEEKLY INPUT'!T164)*0.10)*$R164*$S164*0.95)</f>
        <v/>
      </c>
      <c r="X164" s="5">
        <f>IF($A164="","",$T164*(1+($3-'WEEKLY INPUT'!U164)*0.10)*$R164*$S164*0.925)</f>
        <v/>
      </c>
      <c r="Y164" s="5">
        <f>IF($A164="","",$T164*(1+($3-'WEEKLY INPUT'!V164)*0.10)*$R164*$S164*0.9)</f>
        <v/>
      </c>
      <c r="Z164" s="5">
        <f>IF($A164="","",$T164*(1+($3-'WEEKLY INPUT'!W164)*0.10)*$R164*$S164*0.875)</f>
        <v/>
      </c>
      <c r="AA164" s="5">
        <f>IF($A164="","",$T164*(1+($3-'WEEKLY INPUT'!X164)*0.10)*$R164*$S164*0.85)</f>
        <v/>
      </c>
      <c r="AB164" s="5">
        <f>IF($A164="","",$T164*(1+($3-'WEEKLY INPUT'!Y164)*0.10)*$R164*$S164*0.825)</f>
        <v/>
      </c>
      <c r="AC164" s="5">
        <f>SUM(U164:AB164)</f>
        <v/>
      </c>
      <c r="AD164" s="5">
        <f>SUM(U164:Z164)</f>
        <v/>
      </c>
      <c r="AE164" s="5">
        <f>IFERROR(AD164/D164,0)</f>
        <v/>
      </c>
      <c r="AF164" s="5">
        <f>MAX(0,1-R164)</f>
        <v/>
      </c>
      <c r="AG164" s="5">
        <f>IFERROR((H164+I164)*R164*(1+0.10*(3-'WEEKLY INPUT'!R164)),"")</f>
        <v/>
      </c>
      <c r="AH164" s="5">
        <f>IFERROR(AG164/SUMPRODUCT($AG$6:$AG$205),"")</f>
        <v/>
      </c>
      <c r="AI164" s="5">
        <f>IFERROR(AD164*(1-AF164*0.5)*(1+0.15*AE164),0)</f>
        <v/>
      </c>
      <c r="AJ164" s="5">
        <f>IF(A164="","",RANK(AI164,$AI$6:$AI$205,0))</f>
        <v/>
      </c>
      <c r="AK164" s="5">
        <f>IFERROR('WEEKLY INPUT'!Z164,"")</f>
        <v/>
      </c>
    </row>
    <row r="165">
      <c r="A165" s="5">
        <f>IFERROR('WEEKLY INPUT'!A165,"")</f>
        <v/>
      </c>
      <c r="B165" s="5">
        <f>IFERROR('WEEKLY INPUT'!B165,"")</f>
        <v/>
      </c>
      <c r="C165" s="5">
        <f>IFERROR('WEEKLY INPUT'!C165,"")</f>
        <v/>
      </c>
      <c r="D165" s="5">
        <f>IFERROR('WEEKLY INPUT'!D165,0)</f>
        <v/>
      </c>
      <c r="E165" s="5">
        <f>IFERROR('WEEKLY INPUT'!E165,0)</f>
        <v/>
      </c>
      <c r="F165" s="5">
        <f>IFERROR('WEEKLY INPUT'!F165,0)</f>
        <v/>
      </c>
      <c r="G165" s="5">
        <f>IFERROR('WEEKLY INPUT'!Q165,0)</f>
        <v/>
      </c>
      <c r="H165" s="5">
        <f>IFERROR('WEEKLY INPUT'!H165/'WEEKLY INPUT'!F165*90,0)</f>
        <v/>
      </c>
      <c r="I165" s="5">
        <f>IFERROR('WEEKLY INPUT'!I165/'WEEKLY INPUT'!F165*90,0)</f>
        <v/>
      </c>
      <c r="J165" s="5">
        <f>H165+I165</f>
        <v/>
      </c>
      <c r="K165" s="5">
        <f>IFERROR('WEEKLY INPUT'!J165/'WEEKLY INPUT'!F165*90,0)</f>
        <v/>
      </c>
      <c r="L165" s="5">
        <f>IFERROR('WEEKLY INPUT'!K165/'WEEKLY INPUT'!F165*90,0)</f>
        <v/>
      </c>
      <c r="M165" s="5">
        <f>IFERROR('WEEKLY INPUT'!L165/'WEEKLY INPUT'!F165*90,0)</f>
        <v/>
      </c>
      <c r="N165" s="5">
        <f>IFERROR('WEEKLY INPUT'!M165/'WEEKLY INPUT'!F165*90,0)</f>
        <v/>
      </c>
      <c r="O165" s="5">
        <f>IFERROR('WEEKLY INPUT'!N165/'WEEKLY INPUT'!F165*90,0)</f>
        <v/>
      </c>
      <c r="P165" s="5">
        <f>IFERROR('WEEKLY INPUT'!O165/'WEEKLY INPUT'!F165*90,0)</f>
        <v/>
      </c>
      <c r="Q165" s="5">
        <f>IFERROR(('WEEKLY INPUT'!J165*2+'WEEKLY INPUT'!K165*1+'WEEKLY INPUT'!O165*0.2)/'WEEKLY INPUT'!F165,0)</f>
        <v/>
      </c>
      <c r="R165" s="5">
        <f>MAX(0.25,MIN(1.15,(F165/540)*0.5+G165*0.5))</f>
        <v/>
      </c>
      <c r="S165" s="5">
        <f>MAX(0.70,MIN(1.10,0.85+0.15*G165))</f>
        <v/>
      </c>
      <c r="T165" s="5">
        <f>IF(A165="","",2*('WEEKLY INPUT'!P165/90)+(H165*5+I165*3)*('WEEKLY INPUT'!P165/90)+(P165*0.15)*('WEEKLY INPUT'!P165/90)+Q165*0.25)</f>
        <v/>
      </c>
      <c r="U165" s="5">
        <f>IF($A165="","",$T165*(1+($3-'WEEKLY INPUT'!R165)*0.10)*$R165*$S165*1.0)</f>
        <v/>
      </c>
      <c r="V165" s="5">
        <f>IF($A165="","",$T165*(1+($3-'WEEKLY INPUT'!S165)*0.10)*$R165*$S165*0.975)</f>
        <v/>
      </c>
      <c r="W165" s="5">
        <f>IF($A165="","",$T165*(1+($3-'WEEKLY INPUT'!T165)*0.10)*$R165*$S165*0.95)</f>
        <v/>
      </c>
      <c r="X165" s="5">
        <f>IF($A165="","",$T165*(1+($3-'WEEKLY INPUT'!U165)*0.10)*$R165*$S165*0.925)</f>
        <v/>
      </c>
      <c r="Y165" s="5">
        <f>IF($A165="","",$T165*(1+($3-'WEEKLY INPUT'!V165)*0.10)*$R165*$S165*0.9)</f>
        <v/>
      </c>
      <c r="Z165" s="5">
        <f>IF($A165="","",$T165*(1+($3-'WEEKLY INPUT'!W165)*0.10)*$R165*$S165*0.875)</f>
        <v/>
      </c>
      <c r="AA165" s="5">
        <f>IF($A165="","",$T165*(1+($3-'WEEKLY INPUT'!X165)*0.10)*$R165*$S165*0.85)</f>
        <v/>
      </c>
      <c r="AB165" s="5">
        <f>IF($A165="","",$T165*(1+($3-'WEEKLY INPUT'!Y165)*0.10)*$R165*$S165*0.825)</f>
        <v/>
      </c>
      <c r="AC165" s="5">
        <f>SUM(U165:AB165)</f>
        <v/>
      </c>
      <c r="AD165" s="5">
        <f>SUM(U165:Z165)</f>
        <v/>
      </c>
      <c r="AE165" s="5">
        <f>IFERROR(AD165/D165,0)</f>
        <v/>
      </c>
      <c r="AF165" s="5">
        <f>MAX(0,1-R165)</f>
        <v/>
      </c>
      <c r="AG165" s="5">
        <f>IFERROR((H165+I165)*R165*(1+0.10*(3-'WEEKLY INPUT'!R165)),"")</f>
        <v/>
      </c>
      <c r="AH165" s="5">
        <f>IFERROR(AG165/SUMPRODUCT($AG$6:$AG$205),"")</f>
        <v/>
      </c>
      <c r="AI165" s="5">
        <f>IFERROR(AD165*(1-AF165*0.5)*(1+0.15*AE165),0)</f>
        <v/>
      </c>
      <c r="AJ165" s="5">
        <f>IF(A165="","",RANK(AI165,$AI$6:$AI$205,0))</f>
        <v/>
      </c>
      <c r="AK165" s="5">
        <f>IFERROR('WEEKLY INPUT'!Z165,"")</f>
        <v/>
      </c>
    </row>
    <row r="166">
      <c r="A166" s="5">
        <f>IFERROR('WEEKLY INPUT'!A166,"")</f>
        <v/>
      </c>
      <c r="B166" s="5">
        <f>IFERROR('WEEKLY INPUT'!B166,"")</f>
        <v/>
      </c>
      <c r="C166" s="5">
        <f>IFERROR('WEEKLY INPUT'!C166,"")</f>
        <v/>
      </c>
      <c r="D166" s="5">
        <f>IFERROR('WEEKLY INPUT'!D166,0)</f>
        <v/>
      </c>
      <c r="E166" s="5">
        <f>IFERROR('WEEKLY INPUT'!E166,0)</f>
        <v/>
      </c>
      <c r="F166" s="5">
        <f>IFERROR('WEEKLY INPUT'!F166,0)</f>
        <v/>
      </c>
      <c r="G166" s="5">
        <f>IFERROR('WEEKLY INPUT'!Q166,0)</f>
        <v/>
      </c>
      <c r="H166" s="5">
        <f>IFERROR('WEEKLY INPUT'!H166/'WEEKLY INPUT'!F166*90,0)</f>
        <v/>
      </c>
      <c r="I166" s="5">
        <f>IFERROR('WEEKLY INPUT'!I166/'WEEKLY INPUT'!F166*90,0)</f>
        <v/>
      </c>
      <c r="J166" s="5">
        <f>H166+I166</f>
        <v/>
      </c>
      <c r="K166" s="5">
        <f>IFERROR('WEEKLY INPUT'!J166/'WEEKLY INPUT'!F166*90,0)</f>
        <v/>
      </c>
      <c r="L166" s="5">
        <f>IFERROR('WEEKLY INPUT'!K166/'WEEKLY INPUT'!F166*90,0)</f>
        <v/>
      </c>
      <c r="M166" s="5">
        <f>IFERROR('WEEKLY INPUT'!L166/'WEEKLY INPUT'!F166*90,0)</f>
        <v/>
      </c>
      <c r="N166" s="5">
        <f>IFERROR('WEEKLY INPUT'!M166/'WEEKLY INPUT'!F166*90,0)</f>
        <v/>
      </c>
      <c r="O166" s="5">
        <f>IFERROR('WEEKLY INPUT'!N166/'WEEKLY INPUT'!F166*90,0)</f>
        <v/>
      </c>
      <c r="P166" s="5">
        <f>IFERROR('WEEKLY INPUT'!O166/'WEEKLY INPUT'!F166*90,0)</f>
        <v/>
      </c>
      <c r="Q166" s="5">
        <f>IFERROR(('WEEKLY INPUT'!J166*2+'WEEKLY INPUT'!K166*1+'WEEKLY INPUT'!O166*0.2)/'WEEKLY INPUT'!F166,0)</f>
        <v/>
      </c>
      <c r="R166" s="5">
        <f>MAX(0.25,MIN(1.15,(F166/540)*0.5+G166*0.5))</f>
        <v/>
      </c>
      <c r="S166" s="5">
        <f>MAX(0.70,MIN(1.10,0.85+0.15*G166))</f>
        <v/>
      </c>
      <c r="T166" s="5">
        <f>IF(A166="","",2*('WEEKLY INPUT'!P166/90)+(H166*5+I166*3)*('WEEKLY INPUT'!P166/90)+(P166*0.15)*('WEEKLY INPUT'!P166/90)+Q166*0.25)</f>
        <v/>
      </c>
      <c r="U166" s="5">
        <f>IF($A166="","",$T166*(1+($3-'WEEKLY INPUT'!R166)*0.10)*$R166*$S166*1.0)</f>
        <v/>
      </c>
      <c r="V166" s="5">
        <f>IF($A166="","",$T166*(1+($3-'WEEKLY INPUT'!S166)*0.10)*$R166*$S166*0.975)</f>
        <v/>
      </c>
      <c r="W166" s="5">
        <f>IF($A166="","",$T166*(1+($3-'WEEKLY INPUT'!T166)*0.10)*$R166*$S166*0.95)</f>
        <v/>
      </c>
      <c r="X166" s="5">
        <f>IF($A166="","",$T166*(1+($3-'WEEKLY INPUT'!U166)*0.10)*$R166*$S166*0.925)</f>
        <v/>
      </c>
      <c r="Y166" s="5">
        <f>IF($A166="","",$T166*(1+($3-'WEEKLY INPUT'!V166)*0.10)*$R166*$S166*0.9)</f>
        <v/>
      </c>
      <c r="Z166" s="5">
        <f>IF($A166="","",$T166*(1+($3-'WEEKLY INPUT'!W166)*0.10)*$R166*$S166*0.875)</f>
        <v/>
      </c>
      <c r="AA166" s="5">
        <f>IF($A166="","",$T166*(1+($3-'WEEKLY INPUT'!X166)*0.10)*$R166*$S166*0.85)</f>
        <v/>
      </c>
      <c r="AB166" s="5">
        <f>IF($A166="","",$T166*(1+($3-'WEEKLY INPUT'!Y166)*0.10)*$R166*$S166*0.825)</f>
        <v/>
      </c>
      <c r="AC166" s="5">
        <f>SUM(U166:AB166)</f>
        <v/>
      </c>
      <c r="AD166" s="5">
        <f>SUM(U166:Z166)</f>
        <v/>
      </c>
      <c r="AE166" s="5">
        <f>IFERROR(AD166/D166,0)</f>
        <v/>
      </c>
      <c r="AF166" s="5">
        <f>MAX(0,1-R166)</f>
        <v/>
      </c>
      <c r="AG166" s="5">
        <f>IFERROR((H166+I166)*R166*(1+0.10*(3-'WEEKLY INPUT'!R166)),"")</f>
        <v/>
      </c>
      <c r="AH166" s="5">
        <f>IFERROR(AG166/SUMPRODUCT($AG$6:$AG$205),"")</f>
        <v/>
      </c>
      <c r="AI166" s="5">
        <f>IFERROR(AD166*(1-AF166*0.5)*(1+0.15*AE166),0)</f>
        <v/>
      </c>
      <c r="AJ166" s="5">
        <f>IF(A166="","",RANK(AI166,$AI$6:$AI$205,0))</f>
        <v/>
      </c>
      <c r="AK166" s="5">
        <f>IFERROR('WEEKLY INPUT'!Z166,"")</f>
        <v/>
      </c>
    </row>
    <row r="167">
      <c r="A167" s="5">
        <f>IFERROR('WEEKLY INPUT'!A167,"")</f>
        <v/>
      </c>
      <c r="B167" s="5">
        <f>IFERROR('WEEKLY INPUT'!B167,"")</f>
        <v/>
      </c>
      <c r="C167" s="5">
        <f>IFERROR('WEEKLY INPUT'!C167,"")</f>
        <v/>
      </c>
      <c r="D167" s="5">
        <f>IFERROR('WEEKLY INPUT'!D167,0)</f>
        <v/>
      </c>
      <c r="E167" s="5">
        <f>IFERROR('WEEKLY INPUT'!E167,0)</f>
        <v/>
      </c>
      <c r="F167" s="5">
        <f>IFERROR('WEEKLY INPUT'!F167,0)</f>
        <v/>
      </c>
      <c r="G167" s="5">
        <f>IFERROR('WEEKLY INPUT'!Q167,0)</f>
        <v/>
      </c>
      <c r="H167" s="5">
        <f>IFERROR('WEEKLY INPUT'!H167/'WEEKLY INPUT'!F167*90,0)</f>
        <v/>
      </c>
      <c r="I167" s="5">
        <f>IFERROR('WEEKLY INPUT'!I167/'WEEKLY INPUT'!F167*90,0)</f>
        <v/>
      </c>
      <c r="J167" s="5">
        <f>H167+I167</f>
        <v/>
      </c>
      <c r="K167" s="5">
        <f>IFERROR('WEEKLY INPUT'!J167/'WEEKLY INPUT'!F167*90,0)</f>
        <v/>
      </c>
      <c r="L167" s="5">
        <f>IFERROR('WEEKLY INPUT'!K167/'WEEKLY INPUT'!F167*90,0)</f>
        <v/>
      </c>
      <c r="M167" s="5">
        <f>IFERROR('WEEKLY INPUT'!L167/'WEEKLY INPUT'!F167*90,0)</f>
        <v/>
      </c>
      <c r="N167" s="5">
        <f>IFERROR('WEEKLY INPUT'!M167/'WEEKLY INPUT'!F167*90,0)</f>
        <v/>
      </c>
      <c r="O167" s="5">
        <f>IFERROR('WEEKLY INPUT'!N167/'WEEKLY INPUT'!F167*90,0)</f>
        <v/>
      </c>
      <c r="P167" s="5">
        <f>IFERROR('WEEKLY INPUT'!O167/'WEEKLY INPUT'!F167*90,0)</f>
        <v/>
      </c>
      <c r="Q167" s="5">
        <f>IFERROR(('WEEKLY INPUT'!J167*2+'WEEKLY INPUT'!K167*1+'WEEKLY INPUT'!O167*0.2)/'WEEKLY INPUT'!F167,0)</f>
        <v/>
      </c>
      <c r="R167" s="5">
        <f>MAX(0.25,MIN(1.15,(F167/540)*0.5+G167*0.5))</f>
        <v/>
      </c>
      <c r="S167" s="5">
        <f>MAX(0.70,MIN(1.10,0.85+0.15*G167))</f>
        <v/>
      </c>
      <c r="T167" s="5">
        <f>IF(A167="","",2*('WEEKLY INPUT'!P167/90)+(H167*5+I167*3)*('WEEKLY INPUT'!P167/90)+(P167*0.15)*('WEEKLY INPUT'!P167/90)+Q167*0.25)</f>
        <v/>
      </c>
      <c r="U167" s="5">
        <f>IF($A167="","",$T167*(1+($3-'WEEKLY INPUT'!R167)*0.10)*$R167*$S167*1.0)</f>
        <v/>
      </c>
      <c r="V167" s="5">
        <f>IF($A167="","",$T167*(1+($3-'WEEKLY INPUT'!S167)*0.10)*$R167*$S167*0.975)</f>
        <v/>
      </c>
      <c r="W167" s="5">
        <f>IF($A167="","",$T167*(1+($3-'WEEKLY INPUT'!T167)*0.10)*$R167*$S167*0.95)</f>
        <v/>
      </c>
      <c r="X167" s="5">
        <f>IF($A167="","",$T167*(1+($3-'WEEKLY INPUT'!U167)*0.10)*$R167*$S167*0.925)</f>
        <v/>
      </c>
      <c r="Y167" s="5">
        <f>IF($A167="","",$T167*(1+($3-'WEEKLY INPUT'!V167)*0.10)*$R167*$S167*0.9)</f>
        <v/>
      </c>
      <c r="Z167" s="5">
        <f>IF($A167="","",$T167*(1+($3-'WEEKLY INPUT'!W167)*0.10)*$R167*$S167*0.875)</f>
        <v/>
      </c>
      <c r="AA167" s="5">
        <f>IF($A167="","",$T167*(1+($3-'WEEKLY INPUT'!X167)*0.10)*$R167*$S167*0.85)</f>
        <v/>
      </c>
      <c r="AB167" s="5">
        <f>IF($A167="","",$T167*(1+($3-'WEEKLY INPUT'!Y167)*0.10)*$R167*$S167*0.825)</f>
        <v/>
      </c>
      <c r="AC167" s="5">
        <f>SUM(U167:AB167)</f>
        <v/>
      </c>
      <c r="AD167" s="5">
        <f>SUM(U167:Z167)</f>
        <v/>
      </c>
      <c r="AE167" s="5">
        <f>IFERROR(AD167/D167,0)</f>
        <v/>
      </c>
      <c r="AF167" s="5">
        <f>MAX(0,1-R167)</f>
        <v/>
      </c>
      <c r="AG167" s="5">
        <f>IFERROR((H167+I167)*R167*(1+0.10*(3-'WEEKLY INPUT'!R167)),"")</f>
        <v/>
      </c>
      <c r="AH167" s="5">
        <f>IFERROR(AG167/SUMPRODUCT($AG$6:$AG$205),"")</f>
        <v/>
      </c>
      <c r="AI167" s="5">
        <f>IFERROR(AD167*(1-AF167*0.5)*(1+0.15*AE167),0)</f>
        <v/>
      </c>
      <c r="AJ167" s="5">
        <f>IF(A167="","",RANK(AI167,$AI$6:$AI$205,0))</f>
        <v/>
      </c>
      <c r="AK167" s="5">
        <f>IFERROR('WEEKLY INPUT'!Z167,"")</f>
        <v/>
      </c>
    </row>
    <row r="168">
      <c r="A168" s="5">
        <f>IFERROR('WEEKLY INPUT'!A168,"")</f>
        <v/>
      </c>
      <c r="B168" s="5">
        <f>IFERROR('WEEKLY INPUT'!B168,"")</f>
        <v/>
      </c>
      <c r="C168" s="5">
        <f>IFERROR('WEEKLY INPUT'!C168,"")</f>
        <v/>
      </c>
      <c r="D168" s="5">
        <f>IFERROR('WEEKLY INPUT'!D168,0)</f>
        <v/>
      </c>
      <c r="E168" s="5">
        <f>IFERROR('WEEKLY INPUT'!E168,0)</f>
        <v/>
      </c>
      <c r="F168" s="5">
        <f>IFERROR('WEEKLY INPUT'!F168,0)</f>
        <v/>
      </c>
      <c r="G168" s="5">
        <f>IFERROR('WEEKLY INPUT'!Q168,0)</f>
        <v/>
      </c>
      <c r="H168" s="5">
        <f>IFERROR('WEEKLY INPUT'!H168/'WEEKLY INPUT'!F168*90,0)</f>
        <v/>
      </c>
      <c r="I168" s="5">
        <f>IFERROR('WEEKLY INPUT'!I168/'WEEKLY INPUT'!F168*90,0)</f>
        <v/>
      </c>
      <c r="J168" s="5">
        <f>H168+I168</f>
        <v/>
      </c>
      <c r="K168" s="5">
        <f>IFERROR('WEEKLY INPUT'!J168/'WEEKLY INPUT'!F168*90,0)</f>
        <v/>
      </c>
      <c r="L168" s="5">
        <f>IFERROR('WEEKLY INPUT'!K168/'WEEKLY INPUT'!F168*90,0)</f>
        <v/>
      </c>
      <c r="M168" s="5">
        <f>IFERROR('WEEKLY INPUT'!L168/'WEEKLY INPUT'!F168*90,0)</f>
        <v/>
      </c>
      <c r="N168" s="5">
        <f>IFERROR('WEEKLY INPUT'!M168/'WEEKLY INPUT'!F168*90,0)</f>
        <v/>
      </c>
      <c r="O168" s="5">
        <f>IFERROR('WEEKLY INPUT'!N168/'WEEKLY INPUT'!F168*90,0)</f>
        <v/>
      </c>
      <c r="P168" s="5">
        <f>IFERROR('WEEKLY INPUT'!O168/'WEEKLY INPUT'!F168*90,0)</f>
        <v/>
      </c>
      <c r="Q168" s="5">
        <f>IFERROR(('WEEKLY INPUT'!J168*2+'WEEKLY INPUT'!K168*1+'WEEKLY INPUT'!O168*0.2)/'WEEKLY INPUT'!F168,0)</f>
        <v/>
      </c>
      <c r="R168" s="5">
        <f>MAX(0.25,MIN(1.15,(F168/540)*0.5+G168*0.5))</f>
        <v/>
      </c>
      <c r="S168" s="5">
        <f>MAX(0.70,MIN(1.10,0.85+0.15*G168))</f>
        <v/>
      </c>
      <c r="T168" s="5">
        <f>IF(A168="","",2*('WEEKLY INPUT'!P168/90)+(H168*5+I168*3)*('WEEKLY INPUT'!P168/90)+(P168*0.15)*('WEEKLY INPUT'!P168/90)+Q168*0.25)</f>
        <v/>
      </c>
      <c r="U168" s="5">
        <f>IF($A168="","",$T168*(1+($3-'WEEKLY INPUT'!R168)*0.10)*$R168*$S168*1.0)</f>
        <v/>
      </c>
      <c r="V168" s="5">
        <f>IF($A168="","",$T168*(1+($3-'WEEKLY INPUT'!S168)*0.10)*$R168*$S168*0.975)</f>
        <v/>
      </c>
      <c r="W168" s="5">
        <f>IF($A168="","",$T168*(1+($3-'WEEKLY INPUT'!T168)*0.10)*$R168*$S168*0.95)</f>
        <v/>
      </c>
      <c r="X168" s="5">
        <f>IF($A168="","",$T168*(1+($3-'WEEKLY INPUT'!U168)*0.10)*$R168*$S168*0.925)</f>
        <v/>
      </c>
      <c r="Y168" s="5">
        <f>IF($A168="","",$T168*(1+($3-'WEEKLY INPUT'!V168)*0.10)*$R168*$S168*0.9)</f>
        <v/>
      </c>
      <c r="Z168" s="5">
        <f>IF($A168="","",$T168*(1+($3-'WEEKLY INPUT'!W168)*0.10)*$R168*$S168*0.875)</f>
        <v/>
      </c>
      <c r="AA168" s="5">
        <f>IF($A168="","",$T168*(1+($3-'WEEKLY INPUT'!X168)*0.10)*$R168*$S168*0.85)</f>
        <v/>
      </c>
      <c r="AB168" s="5">
        <f>IF($A168="","",$T168*(1+($3-'WEEKLY INPUT'!Y168)*0.10)*$R168*$S168*0.825)</f>
        <v/>
      </c>
      <c r="AC168" s="5">
        <f>SUM(U168:AB168)</f>
        <v/>
      </c>
      <c r="AD168" s="5">
        <f>SUM(U168:Z168)</f>
        <v/>
      </c>
      <c r="AE168" s="5">
        <f>IFERROR(AD168/D168,0)</f>
        <v/>
      </c>
      <c r="AF168" s="5">
        <f>MAX(0,1-R168)</f>
        <v/>
      </c>
      <c r="AG168" s="5">
        <f>IFERROR((H168+I168)*R168*(1+0.10*(3-'WEEKLY INPUT'!R168)),"")</f>
        <v/>
      </c>
      <c r="AH168" s="5">
        <f>IFERROR(AG168/SUMPRODUCT($AG$6:$AG$205),"")</f>
        <v/>
      </c>
      <c r="AI168" s="5">
        <f>IFERROR(AD168*(1-AF168*0.5)*(1+0.15*AE168),0)</f>
        <v/>
      </c>
      <c r="AJ168" s="5">
        <f>IF(A168="","",RANK(AI168,$AI$6:$AI$205,0))</f>
        <v/>
      </c>
      <c r="AK168" s="5">
        <f>IFERROR('WEEKLY INPUT'!Z168,"")</f>
        <v/>
      </c>
    </row>
    <row r="169">
      <c r="A169" s="5">
        <f>IFERROR('WEEKLY INPUT'!A169,"")</f>
        <v/>
      </c>
      <c r="B169" s="5">
        <f>IFERROR('WEEKLY INPUT'!B169,"")</f>
        <v/>
      </c>
      <c r="C169" s="5">
        <f>IFERROR('WEEKLY INPUT'!C169,"")</f>
        <v/>
      </c>
      <c r="D169" s="5">
        <f>IFERROR('WEEKLY INPUT'!D169,0)</f>
        <v/>
      </c>
      <c r="E169" s="5">
        <f>IFERROR('WEEKLY INPUT'!E169,0)</f>
        <v/>
      </c>
      <c r="F169" s="5">
        <f>IFERROR('WEEKLY INPUT'!F169,0)</f>
        <v/>
      </c>
      <c r="G169" s="5">
        <f>IFERROR('WEEKLY INPUT'!Q169,0)</f>
        <v/>
      </c>
      <c r="H169" s="5">
        <f>IFERROR('WEEKLY INPUT'!H169/'WEEKLY INPUT'!F169*90,0)</f>
        <v/>
      </c>
      <c r="I169" s="5">
        <f>IFERROR('WEEKLY INPUT'!I169/'WEEKLY INPUT'!F169*90,0)</f>
        <v/>
      </c>
      <c r="J169" s="5">
        <f>H169+I169</f>
        <v/>
      </c>
      <c r="K169" s="5">
        <f>IFERROR('WEEKLY INPUT'!J169/'WEEKLY INPUT'!F169*90,0)</f>
        <v/>
      </c>
      <c r="L169" s="5">
        <f>IFERROR('WEEKLY INPUT'!K169/'WEEKLY INPUT'!F169*90,0)</f>
        <v/>
      </c>
      <c r="M169" s="5">
        <f>IFERROR('WEEKLY INPUT'!L169/'WEEKLY INPUT'!F169*90,0)</f>
        <v/>
      </c>
      <c r="N169" s="5">
        <f>IFERROR('WEEKLY INPUT'!M169/'WEEKLY INPUT'!F169*90,0)</f>
        <v/>
      </c>
      <c r="O169" s="5">
        <f>IFERROR('WEEKLY INPUT'!N169/'WEEKLY INPUT'!F169*90,0)</f>
        <v/>
      </c>
      <c r="P169" s="5">
        <f>IFERROR('WEEKLY INPUT'!O169/'WEEKLY INPUT'!F169*90,0)</f>
        <v/>
      </c>
      <c r="Q169" s="5">
        <f>IFERROR(('WEEKLY INPUT'!J169*2+'WEEKLY INPUT'!K169*1+'WEEKLY INPUT'!O169*0.2)/'WEEKLY INPUT'!F169,0)</f>
        <v/>
      </c>
      <c r="R169" s="5">
        <f>MAX(0.25,MIN(1.15,(F169/540)*0.5+G169*0.5))</f>
        <v/>
      </c>
      <c r="S169" s="5">
        <f>MAX(0.70,MIN(1.10,0.85+0.15*G169))</f>
        <v/>
      </c>
      <c r="T169" s="5">
        <f>IF(A169="","",2*('WEEKLY INPUT'!P169/90)+(H169*5+I169*3)*('WEEKLY INPUT'!P169/90)+(P169*0.15)*('WEEKLY INPUT'!P169/90)+Q169*0.25)</f>
        <v/>
      </c>
      <c r="U169" s="5">
        <f>IF($A169="","",$T169*(1+($3-'WEEKLY INPUT'!R169)*0.10)*$R169*$S169*1.0)</f>
        <v/>
      </c>
      <c r="V169" s="5">
        <f>IF($A169="","",$T169*(1+($3-'WEEKLY INPUT'!S169)*0.10)*$R169*$S169*0.975)</f>
        <v/>
      </c>
      <c r="W169" s="5">
        <f>IF($A169="","",$T169*(1+($3-'WEEKLY INPUT'!T169)*0.10)*$R169*$S169*0.95)</f>
        <v/>
      </c>
      <c r="X169" s="5">
        <f>IF($A169="","",$T169*(1+($3-'WEEKLY INPUT'!U169)*0.10)*$R169*$S169*0.925)</f>
        <v/>
      </c>
      <c r="Y169" s="5">
        <f>IF($A169="","",$T169*(1+($3-'WEEKLY INPUT'!V169)*0.10)*$R169*$S169*0.9)</f>
        <v/>
      </c>
      <c r="Z169" s="5">
        <f>IF($A169="","",$T169*(1+($3-'WEEKLY INPUT'!W169)*0.10)*$R169*$S169*0.875)</f>
        <v/>
      </c>
      <c r="AA169" s="5">
        <f>IF($A169="","",$T169*(1+($3-'WEEKLY INPUT'!X169)*0.10)*$R169*$S169*0.85)</f>
        <v/>
      </c>
      <c r="AB169" s="5">
        <f>IF($A169="","",$T169*(1+($3-'WEEKLY INPUT'!Y169)*0.10)*$R169*$S169*0.825)</f>
        <v/>
      </c>
      <c r="AC169" s="5">
        <f>SUM(U169:AB169)</f>
        <v/>
      </c>
      <c r="AD169" s="5">
        <f>SUM(U169:Z169)</f>
        <v/>
      </c>
      <c r="AE169" s="5">
        <f>IFERROR(AD169/D169,0)</f>
        <v/>
      </c>
      <c r="AF169" s="5">
        <f>MAX(0,1-R169)</f>
        <v/>
      </c>
      <c r="AG169" s="5">
        <f>IFERROR((H169+I169)*R169*(1+0.10*(3-'WEEKLY INPUT'!R169)),"")</f>
        <v/>
      </c>
      <c r="AH169" s="5">
        <f>IFERROR(AG169/SUMPRODUCT($AG$6:$AG$205),"")</f>
        <v/>
      </c>
      <c r="AI169" s="5">
        <f>IFERROR(AD169*(1-AF169*0.5)*(1+0.15*AE169),0)</f>
        <v/>
      </c>
      <c r="AJ169" s="5">
        <f>IF(A169="","",RANK(AI169,$AI$6:$AI$205,0))</f>
        <v/>
      </c>
      <c r="AK169" s="5">
        <f>IFERROR('WEEKLY INPUT'!Z169,"")</f>
        <v/>
      </c>
    </row>
    <row r="170">
      <c r="A170" s="5">
        <f>IFERROR('WEEKLY INPUT'!A170,"")</f>
        <v/>
      </c>
      <c r="B170" s="5">
        <f>IFERROR('WEEKLY INPUT'!B170,"")</f>
        <v/>
      </c>
      <c r="C170" s="5">
        <f>IFERROR('WEEKLY INPUT'!C170,"")</f>
        <v/>
      </c>
      <c r="D170" s="5">
        <f>IFERROR('WEEKLY INPUT'!D170,0)</f>
        <v/>
      </c>
      <c r="E170" s="5">
        <f>IFERROR('WEEKLY INPUT'!E170,0)</f>
        <v/>
      </c>
      <c r="F170" s="5">
        <f>IFERROR('WEEKLY INPUT'!F170,0)</f>
        <v/>
      </c>
      <c r="G170" s="5">
        <f>IFERROR('WEEKLY INPUT'!Q170,0)</f>
        <v/>
      </c>
      <c r="H170" s="5">
        <f>IFERROR('WEEKLY INPUT'!H170/'WEEKLY INPUT'!F170*90,0)</f>
        <v/>
      </c>
      <c r="I170" s="5">
        <f>IFERROR('WEEKLY INPUT'!I170/'WEEKLY INPUT'!F170*90,0)</f>
        <v/>
      </c>
      <c r="J170" s="5">
        <f>H170+I170</f>
        <v/>
      </c>
      <c r="K170" s="5">
        <f>IFERROR('WEEKLY INPUT'!J170/'WEEKLY INPUT'!F170*90,0)</f>
        <v/>
      </c>
      <c r="L170" s="5">
        <f>IFERROR('WEEKLY INPUT'!K170/'WEEKLY INPUT'!F170*90,0)</f>
        <v/>
      </c>
      <c r="M170" s="5">
        <f>IFERROR('WEEKLY INPUT'!L170/'WEEKLY INPUT'!F170*90,0)</f>
        <v/>
      </c>
      <c r="N170" s="5">
        <f>IFERROR('WEEKLY INPUT'!M170/'WEEKLY INPUT'!F170*90,0)</f>
        <v/>
      </c>
      <c r="O170" s="5">
        <f>IFERROR('WEEKLY INPUT'!N170/'WEEKLY INPUT'!F170*90,0)</f>
        <v/>
      </c>
      <c r="P170" s="5">
        <f>IFERROR('WEEKLY INPUT'!O170/'WEEKLY INPUT'!F170*90,0)</f>
        <v/>
      </c>
      <c r="Q170" s="5">
        <f>IFERROR(('WEEKLY INPUT'!J170*2+'WEEKLY INPUT'!K170*1+'WEEKLY INPUT'!O170*0.2)/'WEEKLY INPUT'!F170,0)</f>
        <v/>
      </c>
      <c r="R170" s="5">
        <f>MAX(0.25,MIN(1.15,(F170/540)*0.5+G170*0.5))</f>
        <v/>
      </c>
      <c r="S170" s="5">
        <f>MAX(0.70,MIN(1.10,0.85+0.15*G170))</f>
        <v/>
      </c>
      <c r="T170" s="5">
        <f>IF(A170="","",2*('WEEKLY INPUT'!P170/90)+(H170*5+I170*3)*('WEEKLY INPUT'!P170/90)+(P170*0.15)*('WEEKLY INPUT'!P170/90)+Q170*0.25)</f>
        <v/>
      </c>
      <c r="U170" s="5">
        <f>IF($A170="","",$T170*(1+($3-'WEEKLY INPUT'!R170)*0.10)*$R170*$S170*1.0)</f>
        <v/>
      </c>
      <c r="V170" s="5">
        <f>IF($A170="","",$T170*(1+($3-'WEEKLY INPUT'!S170)*0.10)*$R170*$S170*0.975)</f>
        <v/>
      </c>
      <c r="W170" s="5">
        <f>IF($A170="","",$T170*(1+($3-'WEEKLY INPUT'!T170)*0.10)*$R170*$S170*0.95)</f>
        <v/>
      </c>
      <c r="X170" s="5">
        <f>IF($A170="","",$T170*(1+($3-'WEEKLY INPUT'!U170)*0.10)*$R170*$S170*0.925)</f>
        <v/>
      </c>
      <c r="Y170" s="5">
        <f>IF($A170="","",$T170*(1+($3-'WEEKLY INPUT'!V170)*0.10)*$R170*$S170*0.9)</f>
        <v/>
      </c>
      <c r="Z170" s="5">
        <f>IF($A170="","",$T170*(1+($3-'WEEKLY INPUT'!W170)*0.10)*$R170*$S170*0.875)</f>
        <v/>
      </c>
      <c r="AA170" s="5">
        <f>IF($A170="","",$T170*(1+($3-'WEEKLY INPUT'!X170)*0.10)*$R170*$S170*0.85)</f>
        <v/>
      </c>
      <c r="AB170" s="5">
        <f>IF($A170="","",$T170*(1+($3-'WEEKLY INPUT'!Y170)*0.10)*$R170*$S170*0.825)</f>
        <v/>
      </c>
      <c r="AC170" s="5">
        <f>SUM(U170:AB170)</f>
        <v/>
      </c>
      <c r="AD170" s="5">
        <f>SUM(U170:Z170)</f>
        <v/>
      </c>
      <c r="AE170" s="5">
        <f>IFERROR(AD170/D170,0)</f>
        <v/>
      </c>
      <c r="AF170" s="5">
        <f>MAX(0,1-R170)</f>
        <v/>
      </c>
      <c r="AG170" s="5">
        <f>IFERROR((H170+I170)*R170*(1+0.10*(3-'WEEKLY INPUT'!R170)),"")</f>
        <v/>
      </c>
      <c r="AH170" s="5">
        <f>IFERROR(AG170/SUMPRODUCT($AG$6:$AG$205),"")</f>
        <v/>
      </c>
      <c r="AI170" s="5">
        <f>IFERROR(AD170*(1-AF170*0.5)*(1+0.15*AE170),0)</f>
        <v/>
      </c>
      <c r="AJ170" s="5">
        <f>IF(A170="","",RANK(AI170,$AI$6:$AI$205,0))</f>
        <v/>
      </c>
      <c r="AK170" s="5">
        <f>IFERROR('WEEKLY INPUT'!Z170,"")</f>
        <v/>
      </c>
    </row>
    <row r="171">
      <c r="A171" s="5">
        <f>IFERROR('WEEKLY INPUT'!A171,"")</f>
        <v/>
      </c>
      <c r="B171" s="5">
        <f>IFERROR('WEEKLY INPUT'!B171,"")</f>
        <v/>
      </c>
      <c r="C171" s="5">
        <f>IFERROR('WEEKLY INPUT'!C171,"")</f>
        <v/>
      </c>
      <c r="D171" s="5">
        <f>IFERROR('WEEKLY INPUT'!D171,0)</f>
        <v/>
      </c>
      <c r="E171" s="5">
        <f>IFERROR('WEEKLY INPUT'!E171,0)</f>
        <v/>
      </c>
      <c r="F171" s="5">
        <f>IFERROR('WEEKLY INPUT'!F171,0)</f>
        <v/>
      </c>
      <c r="G171" s="5">
        <f>IFERROR('WEEKLY INPUT'!Q171,0)</f>
        <v/>
      </c>
      <c r="H171" s="5">
        <f>IFERROR('WEEKLY INPUT'!H171/'WEEKLY INPUT'!F171*90,0)</f>
        <v/>
      </c>
      <c r="I171" s="5">
        <f>IFERROR('WEEKLY INPUT'!I171/'WEEKLY INPUT'!F171*90,0)</f>
        <v/>
      </c>
      <c r="J171" s="5">
        <f>H171+I171</f>
        <v/>
      </c>
      <c r="K171" s="5">
        <f>IFERROR('WEEKLY INPUT'!J171/'WEEKLY INPUT'!F171*90,0)</f>
        <v/>
      </c>
      <c r="L171" s="5">
        <f>IFERROR('WEEKLY INPUT'!K171/'WEEKLY INPUT'!F171*90,0)</f>
        <v/>
      </c>
      <c r="M171" s="5">
        <f>IFERROR('WEEKLY INPUT'!L171/'WEEKLY INPUT'!F171*90,0)</f>
        <v/>
      </c>
      <c r="N171" s="5">
        <f>IFERROR('WEEKLY INPUT'!M171/'WEEKLY INPUT'!F171*90,0)</f>
        <v/>
      </c>
      <c r="O171" s="5">
        <f>IFERROR('WEEKLY INPUT'!N171/'WEEKLY INPUT'!F171*90,0)</f>
        <v/>
      </c>
      <c r="P171" s="5">
        <f>IFERROR('WEEKLY INPUT'!O171/'WEEKLY INPUT'!F171*90,0)</f>
        <v/>
      </c>
      <c r="Q171" s="5">
        <f>IFERROR(('WEEKLY INPUT'!J171*2+'WEEKLY INPUT'!K171*1+'WEEKLY INPUT'!O171*0.2)/'WEEKLY INPUT'!F171,0)</f>
        <v/>
      </c>
      <c r="R171" s="5">
        <f>MAX(0.25,MIN(1.15,(F171/540)*0.5+G171*0.5))</f>
        <v/>
      </c>
      <c r="S171" s="5">
        <f>MAX(0.70,MIN(1.10,0.85+0.15*G171))</f>
        <v/>
      </c>
      <c r="T171" s="5">
        <f>IF(A171="","",2*('WEEKLY INPUT'!P171/90)+(H171*5+I171*3)*('WEEKLY INPUT'!P171/90)+(P171*0.15)*('WEEKLY INPUT'!P171/90)+Q171*0.25)</f>
        <v/>
      </c>
      <c r="U171" s="5">
        <f>IF($A171="","",$T171*(1+($3-'WEEKLY INPUT'!R171)*0.10)*$R171*$S171*1.0)</f>
        <v/>
      </c>
      <c r="V171" s="5">
        <f>IF($A171="","",$T171*(1+($3-'WEEKLY INPUT'!S171)*0.10)*$R171*$S171*0.975)</f>
        <v/>
      </c>
      <c r="W171" s="5">
        <f>IF($A171="","",$T171*(1+($3-'WEEKLY INPUT'!T171)*0.10)*$R171*$S171*0.95)</f>
        <v/>
      </c>
      <c r="X171" s="5">
        <f>IF($A171="","",$T171*(1+($3-'WEEKLY INPUT'!U171)*0.10)*$R171*$S171*0.925)</f>
        <v/>
      </c>
      <c r="Y171" s="5">
        <f>IF($A171="","",$T171*(1+($3-'WEEKLY INPUT'!V171)*0.10)*$R171*$S171*0.9)</f>
        <v/>
      </c>
      <c r="Z171" s="5">
        <f>IF($A171="","",$T171*(1+($3-'WEEKLY INPUT'!W171)*0.10)*$R171*$S171*0.875)</f>
        <v/>
      </c>
      <c r="AA171" s="5">
        <f>IF($A171="","",$T171*(1+($3-'WEEKLY INPUT'!X171)*0.10)*$R171*$S171*0.85)</f>
        <v/>
      </c>
      <c r="AB171" s="5">
        <f>IF($A171="","",$T171*(1+($3-'WEEKLY INPUT'!Y171)*0.10)*$R171*$S171*0.825)</f>
        <v/>
      </c>
      <c r="AC171" s="5">
        <f>SUM(U171:AB171)</f>
        <v/>
      </c>
      <c r="AD171" s="5">
        <f>SUM(U171:Z171)</f>
        <v/>
      </c>
      <c r="AE171" s="5">
        <f>IFERROR(AD171/D171,0)</f>
        <v/>
      </c>
      <c r="AF171" s="5">
        <f>MAX(0,1-R171)</f>
        <v/>
      </c>
      <c r="AG171" s="5">
        <f>IFERROR((H171+I171)*R171*(1+0.10*(3-'WEEKLY INPUT'!R171)),"")</f>
        <v/>
      </c>
      <c r="AH171" s="5">
        <f>IFERROR(AG171/SUMPRODUCT($AG$6:$AG$205),"")</f>
        <v/>
      </c>
      <c r="AI171" s="5">
        <f>IFERROR(AD171*(1-AF171*0.5)*(1+0.15*AE171),0)</f>
        <v/>
      </c>
      <c r="AJ171" s="5">
        <f>IF(A171="","",RANK(AI171,$AI$6:$AI$205,0))</f>
        <v/>
      </c>
      <c r="AK171" s="5">
        <f>IFERROR('WEEKLY INPUT'!Z171,"")</f>
        <v/>
      </c>
    </row>
    <row r="172">
      <c r="A172" s="5">
        <f>IFERROR('WEEKLY INPUT'!A172,"")</f>
        <v/>
      </c>
      <c r="B172" s="5">
        <f>IFERROR('WEEKLY INPUT'!B172,"")</f>
        <v/>
      </c>
      <c r="C172" s="5">
        <f>IFERROR('WEEKLY INPUT'!C172,"")</f>
        <v/>
      </c>
      <c r="D172" s="5">
        <f>IFERROR('WEEKLY INPUT'!D172,0)</f>
        <v/>
      </c>
      <c r="E172" s="5">
        <f>IFERROR('WEEKLY INPUT'!E172,0)</f>
        <v/>
      </c>
      <c r="F172" s="5">
        <f>IFERROR('WEEKLY INPUT'!F172,0)</f>
        <v/>
      </c>
      <c r="G172" s="5">
        <f>IFERROR('WEEKLY INPUT'!Q172,0)</f>
        <v/>
      </c>
      <c r="H172" s="5">
        <f>IFERROR('WEEKLY INPUT'!H172/'WEEKLY INPUT'!F172*90,0)</f>
        <v/>
      </c>
      <c r="I172" s="5">
        <f>IFERROR('WEEKLY INPUT'!I172/'WEEKLY INPUT'!F172*90,0)</f>
        <v/>
      </c>
      <c r="J172" s="5">
        <f>H172+I172</f>
        <v/>
      </c>
      <c r="K172" s="5">
        <f>IFERROR('WEEKLY INPUT'!J172/'WEEKLY INPUT'!F172*90,0)</f>
        <v/>
      </c>
      <c r="L172" s="5">
        <f>IFERROR('WEEKLY INPUT'!K172/'WEEKLY INPUT'!F172*90,0)</f>
        <v/>
      </c>
      <c r="M172" s="5">
        <f>IFERROR('WEEKLY INPUT'!L172/'WEEKLY INPUT'!F172*90,0)</f>
        <v/>
      </c>
      <c r="N172" s="5">
        <f>IFERROR('WEEKLY INPUT'!M172/'WEEKLY INPUT'!F172*90,0)</f>
        <v/>
      </c>
      <c r="O172" s="5">
        <f>IFERROR('WEEKLY INPUT'!N172/'WEEKLY INPUT'!F172*90,0)</f>
        <v/>
      </c>
      <c r="P172" s="5">
        <f>IFERROR('WEEKLY INPUT'!O172/'WEEKLY INPUT'!F172*90,0)</f>
        <v/>
      </c>
      <c r="Q172" s="5">
        <f>IFERROR(('WEEKLY INPUT'!J172*2+'WEEKLY INPUT'!K172*1+'WEEKLY INPUT'!O172*0.2)/'WEEKLY INPUT'!F172,0)</f>
        <v/>
      </c>
      <c r="R172" s="5">
        <f>MAX(0.25,MIN(1.15,(F172/540)*0.5+G172*0.5))</f>
        <v/>
      </c>
      <c r="S172" s="5">
        <f>MAX(0.70,MIN(1.10,0.85+0.15*G172))</f>
        <v/>
      </c>
      <c r="T172" s="5">
        <f>IF(A172="","",2*('WEEKLY INPUT'!P172/90)+(H172*5+I172*3)*('WEEKLY INPUT'!P172/90)+(P172*0.15)*('WEEKLY INPUT'!P172/90)+Q172*0.25)</f>
        <v/>
      </c>
      <c r="U172" s="5">
        <f>IF($A172="","",$T172*(1+($3-'WEEKLY INPUT'!R172)*0.10)*$R172*$S172*1.0)</f>
        <v/>
      </c>
      <c r="V172" s="5">
        <f>IF($A172="","",$T172*(1+($3-'WEEKLY INPUT'!S172)*0.10)*$R172*$S172*0.975)</f>
        <v/>
      </c>
      <c r="W172" s="5">
        <f>IF($A172="","",$T172*(1+($3-'WEEKLY INPUT'!T172)*0.10)*$R172*$S172*0.95)</f>
        <v/>
      </c>
      <c r="X172" s="5">
        <f>IF($A172="","",$T172*(1+($3-'WEEKLY INPUT'!U172)*0.10)*$R172*$S172*0.925)</f>
        <v/>
      </c>
      <c r="Y172" s="5">
        <f>IF($A172="","",$T172*(1+($3-'WEEKLY INPUT'!V172)*0.10)*$R172*$S172*0.9)</f>
        <v/>
      </c>
      <c r="Z172" s="5">
        <f>IF($A172="","",$T172*(1+($3-'WEEKLY INPUT'!W172)*0.10)*$R172*$S172*0.875)</f>
        <v/>
      </c>
      <c r="AA172" s="5">
        <f>IF($A172="","",$T172*(1+($3-'WEEKLY INPUT'!X172)*0.10)*$R172*$S172*0.85)</f>
        <v/>
      </c>
      <c r="AB172" s="5">
        <f>IF($A172="","",$T172*(1+($3-'WEEKLY INPUT'!Y172)*0.10)*$R172*$S172*0.825)</f>
        <v/>
      </c>
      <c r="AC172" s="5">
        <f>SUM(U172:AB172)</f>
        <v/>
      </c>
      <c r="AD172" s="5">
        <f>SUM(U172:Z172)</f>
        <v/>
      </c>
      <c r="AE172" s="5">
        <f>IFERROR(AD172/D172,0)</f>
        <v/>
      </c>
      <c r="AF172" s="5">
        <f>MAX(0,1-R172)</f>
        <v/>
      </c>
      <c r="AG172" s="5">
        <f>IFERROR((H172+I172)*R172*(1+0.10*(3-'WEEKLY INPUT'!R172)),"")</f>
        <v/>
      </c>
      <c r="AH172" s="5">
        <f>IFERROR(AG172/SUMPRODUCT($AG$6:$AG$205),"")</f>
        <v/>
      </c>
      <c r="AI172" s="5">
        <f>IFERROR(AD172*(1-AF172*0.5)*(1+0.15*AE172),0)</f>
        <v/>
      </c>
      <c r="AJ172" s="5">
        <f>IF(A172="","",RANK(AI172,$AI$6:$AI$205,0))</f>
        <v/>
      </c>
      <c r="AK172" s="5">
        <f>IFERROR('WEEKLY INPUT'!Z172,"")</f>
        <v/>
      </c>
    </row>
    <row r="173">
      <c r="A173" s="5">
        <f>IFERROR('WEEKLY INPUT'!A173,"")</f>
        <v/>
      </c>
      <c r="B173" s="5">
        <f>IFERROR('WEEKLY INPUT'!B173,"")</f>
        <v/>
      </c>
      <c r="C173" s="5">
        <f>IFERROR('WEEKLY INPUT'!C173,"")</f>
        <v/>
      </c>
      <c r="D173" s="5">
        <f>IFERROR('WEEKLY INPUT'!D173,0)</f>
        <v/>
      </c>
      <c r="E173" s="5">
        <f>IFERROR('WEEKLY INPUT'!E173,0)</f>
        <v/>
      </c>
      <c r="F173" s="5">
        <f>IFERROR('WEEKLY INPUT'!F173,0)</f>
        <v/>
      </c>
      <c r="G173" s="5">
        <f>IFERROR('WEEKLY INPUT'!Q173,0)</f>
        <v/>
      </c>
      <c r="H173" s="5">
        <f>IFERROR('WEEKLY INPUT'!H173/'WEEKLY INPUT'!F173*90,0)</f>
        <v/>
      </c>
      <c r="I173" s="5">
        <f>IFERROR('WEEKLY INPUT'!I173/'WEEKLY INPUT'!F173*90,0)</f>
        <v/>
      </c>
      <c r="J173" s="5">
        <f>H173+I173</f>
        <v/>
      </c>
      <c r="K173" s="5">
        <f>IFERROR('WEEKLY INPUT'!J173/'WEEKLY INPUT'!F173*90,0)</f>
        <v/>
      </c>
      <c r="L173" s="5">
        <f>IFERROR('WEEKLY INPUT'!K173/'WEEKLY INPUT'!F173*90,0)</f>
        <v/>
      </c>
      <c r="M173" s="5">
        <f>IFERROR('WEEKLY INPUT'!L173/'WEEKLY INPUT'!F173*90,0)</f>
        <v/>
      </c>
      <c r="N173" s="5">
        <f>IFERROR('WEEKLY INPUT'!M173/'WEEKLY INPUT'!F173*90,0)</f>
        <v/>
      </c>
      <c r="O173" s="5">
        <f>IFERROR('WEEKLY INPUT'!N173/'WEEKLY INPUT'!F173*90,0)</f>
        <v/>
      </c>
      <c r="P173" s="5">
        <f>IFERROR('WEEKLY INPUT'!O173/'WEEKLY INPUT'!F173*90,0)</f>
        <v/>
      </c>
      <c r="Q173" s="5">
        <f>IFERROR(('WEEKLY INPUT'!J173*2+'WEEKLY INPUT'!K173*1+'WEEKLY INPUT'!O173*0.2)/'WEEKLY INPUT'!F173,0)</f>
        <v/>
      </c>
      <c r="R173" s="5">
        <f>MAX(0.25,MIN(1.15,(F173/540)*0.5+G173*0.5))</f>
        <v/>
      </c>
      <c r="S173" s="5">
        <f>MAX(0.70,MIN(1.10,0.85+0.15*G173))</f>
        <v/>
      </c>
      <c r="T173" s="5">
        <f>IF(A173="","",2*('WEEKLY INPUT'!P173/90)+(H173*5+I173*3)*('WEEKLY INPUT'!P173/90)+(P173*0.15)*('WEEKLY INPUT'!P173/90)+Q173*0.25)</f>
        <v/>
      </c>
      <c r="U173" s="5">
        <f>IF($A173="","",$T173*(1+($3-'WEEKLY INPUT'!R173)*0.10)*$R173*$S173*1.0)</f>
        <v/>
      </c>
      <c r="V173" s="5">
        <f>IF($A173="","",$T173*(1+($3-'WEEKLY INPUT'!S173)*0.10)*$R173*$S173*0.975)</f>
        <v/>
      </c>
      <c r="W173" s="5">
        <f>IF($A173="","",$T173*(1+($3-'WEEKLY INPUT'!T173)*0.10)*$R173*$S173*0.95)</f>
        <v/>
      </c>
      <c r="X173" s="5">
        <f>IF($A173="","",$T173*(1+($3-'WEEKLY INPUT'!U173)*0.10)*$R173*$S173*0.925)</f>
        <v/>
      </c>
      <c r="Y173" s="5">
        <f>IF($A173="","",$T173*(1+($3-'WEEKLY INPUT'!V173)*0.10)*$R173*$S173*0.9)</f>
        <v/>
      </c>
      <c r="Z173" s="5">
        <f>IF($A173="","",$T173*(1+($3-'WEEKLY INPUT'!W173)*0.10)*$R173*$S173*0.875)</f>
        <v/>
      </c>
      <c r="AA173" s="5">
        <f>IF($A173="","",$T173*(1+($3-'WEEKLY INPUT'!X173)*0.10)*$R173*$S173*0.85)</f>
        <v/>
      </c>
      <c r="AB173" s="5">
        <f>IF($A173="","",$T173*(1+($3-'WEEKLY INPUT'!Y173)*0.10)*$R173*$S173*0.825)</f>
        <v/>
      </c>
      <c r="AC173" s="5">
        <f>SUM(U173:AB173)</f>
        <v/>
      </c>
      <c r="AD173" s="5">
        <f>SUM(U173:Z173)</f>
        <v/>
      </c>
      <c r="AE173" s="5">
        <f>IFERROR(AD173/D173,0)</f>
        <v/>
      </c>
      <c r="AF173" s="5">
        <f>MAX(0,1-R173)</f>
        <v/>
      </c>
      <c r="AG173" s="5">
        <f>IFERROR((H173+I173)*R173*(1+0.10*(3-'WEEKLY INPUT'!R173)),"")</f>
        <v/>
      </c>
      <c r="AH173" s="5">
        <f>IFERROR(AG173/SUMPRODUCT($AG$6:$AG$205),"")</f>
        <v/>
      </c>
      <c r="AI173" s="5">
        <f>IFERROR(AD173*(1-AF173*0.5)*(1+0.15*AE173),0)</f>
        <v/>
      </c>
      <c r="AJ173" s="5">
        <f>IF(A173="","",RANK(AI173,$AI$6:$AI$205,0))</f>
        <v/>
      </c>
      <c r="AK173" s="5">
        <f>IFERROR('WEEKLY INPUT'!Z173,"")</f>
        <v/>
      </c>
    </row>
    <row r="174">
      <c r="A174" s="5">
        <f>IFERROR('WEEKLY INPUT'!A174,"")</f>
        <v/>
      </c>
      <c r="B174" s="5">
        <f>IFERROR('WEEKLY INPUT'!B174,"")</f>
        <v/>
      </c>
      <c r="C174" s="5">
        <f>IFERROR('WEEKLY INPUT'!C174,"")</f>
        <v/>
      </c>
      <c r="D174" s="5">
        <f>IFERROR('WEEKLY INPUT'!D174,0)</f>
        <v/>
      </c>
      <c r="E174" s="5">
        <f>IFERROR('WEEKLY INPUT'!E174,0)</f>
        <v/>
      </c>
      <c r="F174" s="5">
        <f>IFERROR('WEEKLY INPUT'!F174,0)</f>
        <v/>
      </c>
      <c r="G174" s="5">
        <f>IFERROR('WEEKLY INPUT'!Q174,0)</f>
        <v/>
      </c>
      <c r="H174" s="5">
        <f>IFERROR('WEEKLY INPUT'!H174/'WEEKLY INPUT'!F174*90,0)</f>
        <v/>
      </c>
      <c r="I174" s="5">
        <f>IFERROR('WEEKLY INPUT'!I174/'WEEKLY INPUT'!F174*90,0)</f>
        <v/>
      </c>
      <c r="J174" s="5">
        <f>H174+I174</f>
        <v/>
      </c>
      <c r="K174" s="5">
        <f>IFERROR('WEEKLY INPUT'!J174/'WEEKLY INPUT'!F174*90,0)</f>
        <v/>
      </c>
      <c r="L174" s="5">
        <f>IFERROR('WEEKLY INPUT'!K174/'WEEKLY INPUT'!F174*90,0)</f>
        <v/>
      </c>
      <c r="M174" s="5">
        <f>IFERROR('WEEKLY INPUT'!L174/'WEEKLY INPUT'!F174*90,0)</f>
        <v/>
      </c>
      <c r="N174" s="5">
        <f>IFERROR('WEEKLY INPUT'!M174/'WEEKLY INPUT'!F174*90,0)</f>
        <v/>
      </c>
      <c r="O174" s="5">
        <f>IFERROR('WEEKLY INPUT'!N174/'WEEKLY INPUT'!F174*90,0)</f>
        <v/>
      </c>
      <c r="P174" s="5">
        <f>IFERROR('WEEKLY INPUT'!O174/'WEEKLY INPUT'!F174*90,0)</f>
        <v/>
      </c>
      <c r="Q174" s="5">
        <f>IFERROR(('WEEKLY INPUT'!J174*2+'WEEKLY INPUT'!K174*1+'WEEKLY INPUT'!O174*0.2)/'WEEKLY INPUT'!F174,0)</f>
        <v/>
      </c>
      <c r="R174" s="5">
        <f>MAX(0.25,MIN(1.15,(F174/540)*0.5+G174*0.5))</f>
        <v/>
      </c>
      <c r="S174" s="5">
        <f>MAX(0.70,MIN(1.10,0.85+0.15*G174))</f>
        <v/>
      </c>
      <c r="T174" s="5">
        <f>IF(A174="","",2*('WEEKLY INPUT'!P174/90)+(H174*5+I174*3)*('WEEKLY INPUT'!P174/90)+(P174*0.15)*('WEEKLY INPUT'!P174/90)+Q174*0.25)</f>
        <v/>
      </c>
      <c r="U174" s="5">
        <f>IF($A174="","",$T174*(1+($3-'WEEKLY INPUT'!R174)*0.10)*$R174*$S174*1.0)</f>
        <v/>
      </c>
      <c r="V174" s="5">
        <f>IF($A174="","",$T174*(1+($3-'WEEKLY INPUT'!S174)*0.10)*$R174*$S174*0.975)</f>
        <v/>
      </c>
      <c r="W174" s="5">
        <f>IF($A174="","",$T174*(1+($3-'WEEKLY INPUT'!T174)*0.10)*$R174*$S174*0.95)</f>
        <v/>
      </c>
      <c r="X174" s="5">
        <f>IF($A174="","",$T174*(1+($3-'WEEKLY INPUT'!U174)*0.10)*$R174*$S174*0.925)</f>
        <v/>
      </c>
      <c r="Y174" s="5">
        <f>IF($A174="","",$T174*(1+($3-'WEEKLY INPUT'!V174)*0.10)*$R174*$S174*0.9)</f>
        <v/>
      </c>
      <c r="Z174" s="5">
        <f>IF($A174="","",$T174*(1+($3-'WEEKLY INPUT'!W174)*0.10)*$R174*$S174*0.875)</f>
        <v/>
      </c>
      <c r="AA174" s="5">
        <f>IF($A174="","",$T174*(1+($3-'WEEKLY INPUT'!X174)*0.10)*$R174*$S174*0.85)</f>
        <v/>
      </c>
      <c r="AB174" s="5">
        <f>IF($A174="","",$T174*(1+($3-'WEEKLY INPUT'!Y174)*0.10)*$R174*$S174*0.825)</f>
        <v/>
      </c>
      <c r="AC174" s="5">
        <f>SUM(U174:AB174)</f>
        <v/>
      </c>
      <c r="AD174" s="5">
        <f>SUM(U174:Z174)</f>
        <v/>
      </c>
      <c r="AE174" s="5">
        <f>IFERROR(AD174/D174,0)</f>
        <v/>
      </c>
      <c r="AF174" s="5">
        <f>MAX(0,1-R174)</f>
        <v/>
      </c>
      <c r="AG174" s="5">
        <f>IFERROR((H174+I174)*R174*(1+0.10*(3-'WEEKLY INPUT'!R174)),"")</f>
        <v/>
      </c>
      <c r="AH174" s="5">
        <f>IFERROR(AG174/SUMPRODUCT($AG$6:$AG$205),"")</f>
        <v/>
      </c>
      <c r="AI174" s="5">
        <f>IFERROR(AD174*(1-AF174*0.5)*(1+0.15*AE174),0)</f>
        <v/>
      </c>
      <c r="AJ174" s="5">
        <f>IF(A174="","",RANK(AI174,$AI$6:$AI$205,0))</f>
        <v/>
      </c>
      <c r="AK174" s="5">
        <f>IFERROR('WEEKLY INPUT'!Z174,"")</f>
        <v/>
      </c>
    </row>
    <row r="175">
      <c r="A175" s="5">
        <f>IFERROR('WEEKLY INPUT'!A175,"")</f>
        <v/>
      </c>
      <c r="B175" s="5">
        <f>IFERROR('WEEKLY INPUT'!B175,"")</f>
        <v/>
      </c>
      <c r="C175" s="5">
        <f>IFERROR('WEEKLY INPUT'!C175,"")</f>
        <v/>
      </c>
      <c r="D175" s="5">
        <f>IFERROR('WEEKLY INPUT'!D175,0)</f>
        <v/>
      </c>
      <c r="E175" s="5">
        <f>IFERROR('WEEKLY INPUT'!E175,0)</f>
        <v/>
      </c>
      <c r="F175" s="5">
        <f>IFERROR('WEEKLY INPUT'!F175,0)</f>
        <v/>
      </c>
      <c r="G175" s="5">
        <f>IFERROR('WEEKLY INPUT'!Q175,0)</f>
        <v/>
      </c>
      <c r="H175" s="5">
        <f>IFERROR('WEEKLY INPUT'!H175/'WEEKLY INPUT'!F175*90,0)</f>
        <v/>
      </c>
      <c r="I175" s="5">
        <f>IFERROR('WEEKLY INPUT'!I175/'WEEKLY INPUT'!F175*90,0)</f>
        <v/>
      </c>
      <c r="J175" s="5">
        <f>H175+I175</f>
        <v/>
      </c>
      <c r="K175" s="5">
        <f>IFERROR('WEEKLY INPUT'!J175/'WEEKLY INPUT'!F175*90,0)</f>
        <v/>
      </c>
      <c r="L175" s="5">
        <f>IFERROR('WEEKLY INPUT'!K175/'WEEKLY INPUT'!F175*90,0)</f>
        <v/>
      </c>
      <c r="M175" s="5">
        <f>IFERROR('WEEKLY INPUT'!L175/'WEEKLY INPUT'!F175*90,0)</f>
        <v/>
      </c>
      <c r="N175" s="5">
        <f>IFERROR('WEEKLY INPUT'!M175/'WEEKLY INPUT'!F175*90,0)</f>
        <v/>
      </c>
      <c r="O175" s="5">
        <f>IFERROR('WEEKLY INPUT'!N175/'WEEKLY INPUT'!F175*90,0)</f>
        <v/>
      </c>
      <c r="P175" s="5">
        <f>IFERROR('WEEKLY INPUT'!O175/'WEEKLY INPUT'!F175*90,0)</f>
        <v/>
      </c>
      <c r="Q175" s="5">
        <f>IFERROR(('WEEKLY INPUT'!J175*2+'WEEKLY INPUT'!K175*1+'WEEKLY INPUT'!O175*0.2)/'WEEKLY INPUT'!F175,0)</f>
        <v/>
      </c>
      <c r="R175" s="5">
        <f>MAX(0.25,MIN(1.15,(F175/540)*0.5+G175*0.5))</f>
        <v/>
      </c>
      <c r="S175" s="5">
        <f>MAX(0.70,MIN(1.10,0.85+0.15*G175))</f>
        <v/>
      </c>
      <c r="T175" s="5">
        <f>IF(A175="","",2*('WEEKLY INPUT'!P175/90)+(H175*5+I175*3)*('WEEKLY INPUT'!P175/90)+(P175*0.15)*('WEEKLY INPUT'!P175/90)+Q175*0.25)</f>
        <v/>
      </c>
      <c r="U175" s="5">
        <f>IF($A175="","",$T175*(1+($3-'WEEKLY INPUT'!R175)*0.10)*$R175*$S175*1.0)</f>
        <v/>
      </c>
      <c r="V175" s="5">
        <f>IF($A175="","",$T175*(1+($3-'WEEKLY INPUT'!S175)*0.10)*$R175*$S175*0.975)</f>
        <v/>
      </c>
      <c r="W175" s="5">
        <f>IF($A175="","",$T175*(1+($3-'WEEKLY INPUT'!T175)*0.10)*$R175*$S175*0.95)</f>
        <v/>
      </c>
      <c r="X175" s="5">
        <f>IF($A175="","",$T175*(1+($3-'WEEKLY INPUT'!U175)*0.10)*$R175*$S175*0.925)</f>
        <v/>
      </c>
      <c r="Y175" s="5">
        <f>IF($A175="","",$T175*(1+($3-'WEEKLY INPUT'!V175)*0.10)*$R175*$S175*0.9)</f>
        <v/>
      </c>
      <c r="Z175" s="5">
        <f>IF($A175="","",$T175*(1+($3-'WEEKLY INPUT'!W175)*0.10)*$R175*$S175*0.875)</f>
        <v/>
      </c>
      <c r="AA175" s="5">
        <f>IF($A175="","",$T175*(1+($3-'WEEKLY INPUT'!X175)*0.10)*$R175*$S175*0.85)</f>
        <v/>
      </c>
      <c r="AB175" s="5">
        <f>IF($A175="","",$T175*(1+($3-'WEEKLY INPUT'!Y175)*0.10)*$R175*$S175*0.825)</f>
        <v/>
      </c>
      <c r="AC175" s="5">
        <f>SUM(U175:AB175)</f>
        <v/>
      </c>
      <c r="AD175" s="5">
        <f>SUM(U175:Z175)</f>
        <v/>
      </c>
      <c r="AE175" s="5">
        <f>IFERROR(AD175/D175,0)</f>
        <v/>
      </c>
      <c r="AF175" s="5">
        <f>MAX(0,1-R175)</f>
        <v/>
      </c>
      <c r="AG175" s="5">
        <f>IFERROR((H175+I175)*R175*(1+0.10*(3-'WEEKLY INPUT'!R175)),"")</f>
        <v/>
      </c>
      <c r="AH175" s="5">
        <f>IFERROR(AG175/SUMPRODUCT($AG$6:$AG$205),"")</f>
        <v/>
      </c>
      <c r="AI175" s="5">
        <f>IFERROR(AD175*(1-AF175*0.5)*(1+0.15*AE175),0)</f>
        <v/>
      </c>
      <c r="AJ175" s="5">
        <f>IF(A175="","",RANK(AI175,$AI$6:$AI$205,0))</f>
        <v/>
      </c>
      <c r="AK175" s="5">
        <f>IFERROR('WEEKLY INPUT'!Z175,"")</f>
        <v/>
      </c>
    </row>
    <row r="176">
      <c r="A176" s="5">
        <f>IFERROR('WEEKLY INPUT'!A176,"")</f>
        <v/>
      </c>
      <c r="B176" s="5">
        <f>IFERROR('WEEKLY INPUT'!B176,"")</f>
        <v/>
      </c>
      <c r="C176" s="5">
        <f>IFERROR('WEEKLY INPUT'!C176,"")</f>
        <v/>
      </c>
      <c r="D176" s="5">
        <f>IFERROR('WEEKLY INPUT'!D176,0)</f>
        <v/>
      </c>
      <c r="E176" s="5">
        <f>IFERROR('WEEKLY INPUT'!E176,0)</f>
        <v/>
      </c>
      <c r="F176" s="5">
        <f>IFERROR('WEEKLY INPUT'!F176,0)</f>
        <v/>
      </c>
      <c r="G176" s="5">
        <f>IFERROR('WEEKLY INPUT'!Q176,0)</f>
        <v/>
      </c>
      <c r="H176" s="5">
        <f>IFERROR('WEEKLY INPUT'!H176/'WEEKLY INPUT'!F176*90,0)</f>
        <v/>
      </c>
      <c r="I176" s="5">
        <f>IFERROR('WEEKLY INPUT'!I176/'WEEKLY INPUT'!F176*90,0)</f>
        <v/>
      </c>
      <c r="J176" s="5">
        <f>H176+I176</f>
        <v/>
      </c>
      <c r="K176" s="5">
        <f>IFERROR('WEEKLY INPUT'!J176/'WEEKLY INPUT'!F176*90,0)</f>
        <v/>
      </c>
      <c r="L176" s="5">
        <f>IFERROR('WEEKLY INPUT'!K176/'WEEKLY INPUT'!F176*90,0)</f>
        <v/>
      </c>
      <c r="M176" s="5">
        <f>IFERROR('WEEKLY INPUT'!L176/'WEEKLY INPUT'!F176*90,0)</f>
        <v/>
      </c>
      <c r="N176" s="5">
        <f>IFERROR('WEEKLY INPUT'!M176/'WEEKLY INPUT'!F176*90,0)</f>
        <v/>
      </c>
      <c r="O176" s="5">
        <f>IFERROR('WEEKLY INPUT'!N176/'WEEKLY INPUT'!F176*90,0)</f>
        <v/>
      </c>
      <c r="P176" s="5">
        <f>IFERROR('WEEKLY INPUT'!O176/'WEEKLY INPUT'!F176*90,0)</f>
        <v/>
      </c>
      <c r="Q176" s="5">
        <f>IFERROR(('WEEKLY INPUT'!J176*2+'WEEKLY INPUT'!K176*1+'WEEKLY INPUT'!O176*0.2)/'WEEKLY INPUT'!F176,0)</f>
        <v/>
      </c>
      <c r="R176" s="5">
        <f>MAX(0.25,MIN(1.15,(F176/540)*0.5+G176*0.5))</f>
        <v/>
      </c>
      <c r="S176" s="5">
        <f>MAX(0.70,MIN(1.10,0.85+0.15*G176))</f>
        <v/>
      </c>
      <c r="T176" s="5">
        <f>IF(A176="","",2*('WEEKLY INPUT'!P176/90)+(H176*5+I176*3)*('WEEKLY INPUT'!P176/90)+(P176*0.15)*('WEEKLY INPUT'!P176/90)+Q176*0.25)</f>
        <v/>
      </c>
      <c r="U176" s="5">
        <f>IF($A176="","",$T176*(1+($3-'WEEKLY INPUT'!R176)*0.10)*$R176*$S176*1.0)</f>
        <v/>
      </c>
      <c r="V176" s="5">
        <f>IF($A176="","",$T176*(1+($3-'WEEKLY INPUT'!S176)*0.10)*$R176*$S176*0.975)</f>
        <v/>
      </c>
      <c r="W176" s="5">
        <f>IF($A176="","",$T176*(1+($3-'WEEKLY INPUT'!T176)*0.10)*$R176*$S176*0.95)</f>
        <v/>
      </c>
      <c r="X176" s="5">
        <f>IF($A176="","",$T176*(1+($3-'WEEKLY INPUT'!U176)*0.10)*$R176*$S176*0.925)</f>
        <v/>
      </c>
      <c r="Y176" s="5">
        <f>IF($A176="","",$T176*(1+($3-'WEEKLY INPUT'!V176)*0.10)*$R176*$S176*0.9)</f>
        <v/>
      </c>
      <c r="Z176" s="5">
        <f>IF($A176="","",$T176*(1+($3-'WEEKLY INPUT'!W176)*0.10)*$R176*$S176*0.875)</f>
        <v/>
      </c>
      <c r="AA176" s="5">
        <f>IF($A176="","",$T176*(1+($3-'WEEKLY INPUT'!X176)*0.10)*$R176*$S176*0.85)</f>
        <v/>
      </c>
      <c r="AB176" s="5">
        <f>IF($A176="","",$T176*(1+($3-'WEEKLY INPUT'!Y176)*0.10)*$R176*$S176*0.825)</f>
        <v/>
      </c>
      <c r="AC176" s="5">
        <f>SUM(U176:AB176)</f>
        <v/>
      </c>
      <c r="AD176" s="5">
        <f>SUM(U176:Z176)</f>
        <v/>
      </c>
      <c r="AE176" s="5">
        <f>IFERROR(AD176/D176,0)</f>
        <v/>
      </c>
      <c r="AF176" s="5">
        <f>MAX(0,1-R176)</f>
        <v/>
      </c>
      <c r="AG176" s="5">
        <f>IFERROR((H176+I176)*R176*(1+0.10*(3-'WEEKLY INPUT'!R176)),"")</f>
        <v/>
      </c>
      <c r="AH176" s="5">
        <f>IFERROR(AG176/SUMPRODUCT($AG$6:$AG$205),"")</f>
        <v/>
      </c>
      <c r="AI176" s="5">
        <f>IFERROR(AD176*(1-AF176*0.5)*(1+0.15*AE176),0)</f>
        <v/>
      </c>
      <c r="AJ176" s="5">
        <f>IF(A176="","",RANK(AI176,$AI$6:$AI$205,0))</f>
        <v/>
      </c>
      <c r="AK176" s="5">
        <f>IFERROR('WEEKLY INPUT'!Z176,"")</f>
        <v/>
      </c>
    </row>
    <row r="177">
      <c r="A177" s="5">
        <f>IFERROR('WEEKLY INPUT'!A177,"")</f>
        <v/>
      </c>
      <c r="B177" s="5">
        <f>IFERROR('WEEKLY INPUT'!B177,"")</f>
        <v/>
      </c>
      <c r="C177" s="5">
        <f>IFERROR('WEEKLY INPUT'!C177,"")</f>
        <v/>
      </c>
      <c r="D177" s="5">
        <f>IFERROR('WEEKLY INPUT'!D177,0)</f>
        <v/>
      </c>
      <c r="E177" s="5">
        <f>IFERROR('WEEKLY INPUT'!E177,0)</f>
        <v/>
      </c>
      <c r="F177" s="5">
        <f>IFERROR('WEEKLY INPUT'!F177,0)</f>
        <v/>
      </c>
      <c r="G177" s="5">
        <f>IFERROR('WEEKLY INPUT'!Q177,0)</f>
        <v/>
      </c>
      <c r="H177" s="5">
        <f>IFERROR('WEEKLY INPUT'!H177/'WEEKLY INPUT'!F177*90,0)</f>
        <v/>
      </c>
      <c r="I177" s="5">
        <f>IFERROR('WEEKLY INPUT'!I177/'WEEKLY INPUT'!F177*90,0)</f>
        <v/>
      </c>
      <c r="J177" s="5">
        <f>H177+I177</f>
        <v/>
      </c>
      <c r="K177" s="5">
        <f>IFERROR('WEEKLY INPUT'!J177/'WEEKLY INPUT'!F177*90,0)</f>
        <v/>
      </c>
      <c r="L177" s="5">
        <f>IFERROR('WEEKLY INPUT'!K177/'WEEKLY INPUT'!F177*90,0)</f>
        <v/>
      </c>
      <c r="M177" s="5">
        <f>IFERROR('WEEKLY INPUT'!L177/'WEEKLY INPUT'!F177*90,0)</f>
        <v/>
      </c>
      <c r="N177" s="5">
        <f>IFERROR('WEEKLY INPUT'!M177/'WEEKLY INPUT'!F177*90,0)</f>
        <v/>
      </c>
      <c r="O177" s="5">
        <f>IFERROR('WEEKLY INPUT'!N177/'WEEKLY INPUT'!F177*90,0)</f>
        <v/>
      </c>
      <c r="P177" s="5">
        <f>IFERROR('WEEKLY INPUT'!O177/'WEEKLY INPUT'!F177*90,0)</f>
        <v/>
      </c>
      <c r="Q177" s="5">
        <f>IFERROR(('WEEKLY INPUT'!J177*2+'WEEKLY INPUT'!K177*1+'WEEKLY INPUT'!O177*0.2)/'WEEKLY INPUT'!F177,0)</f>
        <v/>
      </c>
      <c r="R177" s="5">
        <f>MAX(0.25,MIN(1.15,(F177/540)*0.5+G177*0.5))</f>
        <v/>
      </c>
      <c r="S177" s="5">
        <f>MAX(0.70,MIN(1.10,0.85+0.15*G177))</f>
        <v/>
      </c>
      <c r="T177" s="5">
        <f>IF(A177="","",2*('WEEKLY INPUT'!P177/90)+(H177*5+I177*3)*('WEEKLY INPUT'!P177/90)+(P177*0.15)*('WEEKLY INPUT'!P177/90)+Q177*0.25)</f>
        <v/>
      </c>
      <c r="U177" s="5">
        <f>IF($A177="","",$T177*(1+($3-'WEEKLY INPUT'!R177)*0.10)*$R177*$S177*1.0)</f>
        <v/>
      </c>
      <c r="V177" s="5">
        <f>IF($A177="","",$T177*(1+($3-'WEEKLY INPUT'!S177)*0.10)*$R177*$S177*0.975)</f>
        <v/>
      </c>
      <c r="W177" s="5">
        <f>IF($A177="","",$T177*(1+($3-'WEEKLY INPUT'!T177)*0.10)*$R177*$S177*0.95)</f>
        <v/>
      </c>
      <c r="X177" s="5">
        <f>IF($A177="","",$T177*(1+($3-'WEEKLY INPUT'!U177)*0.10)*$R177*$S177*0.925)</f>
        <v/>
      </c>
      <c r="Y177" s="5">
        <f>IF($A177="","",$T177*(1+($3-'WEEKLY INPUT'!V177)*0.10)*$R177*$S177*0.9)</f>
        <v/>
      </c>
      <c r="Z177" s="5">
        <f>IF($A177="","",$T177*(1+($3-'WEEKLY INPUT'!W177)*0.10)*$R177*$S177*0.875)</f>
        <v/>
      </c>
      <c r="AA177" s="5">
        <f>IF($A177="","",$T177*(1+($3-'WEEKLY INPUT'!X177)*0.10)*$R177*$S177*0.85)</f>
        <v/>
      </c>
      <c r="AB177" s="5">
        <f>IF($A177="","",$T177*(1+($3-'WEEKLY INPUT'!Y177)*0.10)*$R177*$S177*0.825)</f>
        <v/>
      </c>
      <c r="AC177" s="5">
        <f>SUM(U177:AB177)</f>
        <v/>
      </c>
      <c r="AD177" s="5">
        <f>SUM(U177:Z177)</f>
        <v/>
      </c>
      <c r="AE177" s="5">
        <f>IFERROR(AD177/D177,0)</f>
        <v/>
      </c>
      <c r="AF177" s="5">
        <f>MAX(0,1-R177)</f>
        <v/>
      </c>
      <c r="AG177" s="5">
        <f>IFERROR((H177+I177)*R177*(1+0.10*(3-'WEEKLY INPUT'!R177)),"")</f>
        <v/>
      </c>
      <c r="AH177" s="5">
        <f>IFERROR(AG177/SUMPRODUCT($AG$6:$AG$205),"")</f>
        <v/>
      </c>
      <c r="AI177" s="5">
        <f>IFERROR(AD177*(1-AF177*0.5)*(1+0.15*AE177),0)</f>
        <v/>
      </c>
      <c r="AJ177" s="5">
        <f>IF(A177="","",RANK(AI177,$AI$6:$AI$205,0))</f>
        <v/>
      </c>
      <c r="AK177" s="5">
        <f>IFERROR('WEEKLY INPUT'!Z177,"")</f>
        <v/>
      </c>
    </row>
    <row r="178">
      <c r="A178" s="5">
        <f>IFERROR('WEEKLY INPUT'!A178,"")</f>
        <v/>
      </c>
      <c r="B178" s="5">
        <f>IFERROR('WEEKLY INPUT'!B178,"")</f>
        <v/>
      </c>
      <c r="C178" s="5">
        <f>IFERROR('WEEKLY INPUT'!C178,"")</f>
        <v/>
      </c>
      <c r="D178" s="5">
        <f>IFERROR('WEEKLY INPUT'!D178,0)</f>
        <v/>
      </c>
      <c r="E178" s="5">
        <f>IFERROR('WEEKLY INPUT'!E178,0)</f>
        <v/>
      </c>
      <c r="F178" s="5">
        <f>IFERROR('WEEKLY INPUT'!F178,0)</f>
        <v/>
      </c>
      <c r="G178" s="5">
        <f>IFERROR('WEEKLY INPUT'!Q178,0)</f>
        <v/>
      </c>
      <c r="H178" s="5">
        <f>IFERROR('WEEKLY INPUT'!H178/'WEEKLY INPUT'!F178*90,0)</f>
        <v/>
      </c>
      <c r="I178" s="5">
        <f>IFERROR('WEEKLY INPUT'!I178/'WEEKLY INPUT'!F178*90,0)</f>
        <v/>
      </c>
      <c r="J178" s="5">
        <f>H178+I178</f>
        <v/>
      </c>
      <c r="K178" s="5">
        <f>IFERROR('WEEKLY INPUT'!J178/'WEEKLY INPUT'!F178*90,0)</f>
        <v/>
      </c>
      <c r="L178" s="5">
        <f>IFERROR('WEEKLY INPUT'!K178/'WEEKLY INPUT'!F178*90,0)</f>
        <v/>
      </c>
      <c r="M178" s="5">
        <f>IFERROR('WEEKLY INPUT'!L178/'WEEKLY INPUT'!F178*90,0)</f>
        <v/>
      </c>
      <c r="N178" s="5">
        <f>IFERROR('WEEKLY INPUT'!M178/'WEEKLY INPUT'!F178*90,0)</f>
        <v/>
      </c>
      <c r="O178" s="5">
        <f>IFERROR('WEEKLY INPUT'!N178/'WEEKLY INPUT'!F178*90,0)</f>
        <v/>
      </c>
      <c r="P178" s="5">
        <f>IFERROR('WEEKLY INPUT'!O178/'WEEKLY INPUT'!F178*90,0)</f>
        <v/>
      </c>
      <c r="Q178" s="5">
        <f>IFERROR(('WEEKLY INPUT'!J178*2+'WEEKLY INPUT'!K178*1+'WEEKLY INPUT'!O178*0.2)/'WEEKLY INPUT'!F178,0)</f>
        <v/>
      </c>
      <c r="R178" s="5">
        <f>MAX(0.25,MIN(1.15,(F178/540)*0.5+G178*0.5))</f>
        <v/>
      </c>
      <c r="S178" s="5">
        <f>MAX(0.70,MIN(1.10,0.85+0.15*G178))</f>
        <v/>
      </c>
      <c r="T178" s="5">
        <f>IF(A178="","",2*('WEEKLY INPUT'!P178/90)+(H178*5+I178*3)*('WEEKLY INPUT'!P178/90)+(P178*0.15)*('WEEKLY INPUT'!P178/90)+Q178*0.25)</f>
        <v/>
      </c>
      <c r="U178" s="5">
        <f>IF($A178="","",$T178*(1+($3-'WEEKLY INPUT'!R178)*0.10)*$R178*$S178*1.0)</f>
        <v/>
      </c>
      <c r="V178" s="5">
        <f>IF($A178="","",$T178*(1+($3-'WEEKLY INPUT'!S178)*0.10)*$R178*$S178*0.975)</f>
        <v/>
      </c>
      <c r="W178" s="5">
        <f>IF($A178="","",$T178*(1+($3-'WEEKLY INPUT'!T178)*0.10)*$R178*$S178*0.95)</f>
        <v/>
      </c>
      <c r="X178" s="5">
        <f>IF($A178="","",$T178*(1+($3-'WEEKLY INPUT'!U178)*0.10)*$R178*$S178*0.925)</f>
        <v/>
      </c>
      <c r="Y178" s="5">
        <f>IF($A178="","",$T178*(1+($3-'WEEKLY INPUT'!V178)*0.10)*$R178*$S178*0.9)</f>
        <v/>
      </c>
      <c r="Z178" s="5">
        <f>IF($A178="","",$T178*(1+($3-'WEEKLY INPUT'!W178)*0.10)*$R178*$S178*0.875)</f>
        <v/>
      </c>
      <c r="AA178" s="5">
        <f>IF($A178="","",$T178*(1+($3-'WEEKLY INPUT'!X178)*0.10)*$R178*$S178*0.85)</f>
        <v/>
      </c>
      <c r="AB178" s="5">
        <f>IF($A178="","",$T178*(1+($3-'WEEKLY INPUT'!Y178)*0.10)*$R178*$S178*0.825)</f>
        <v/>
      </c>
      <c r="AC178" s="5">
        <f>SUM(U178:AB178)</f>
        <v/>
      </c>
      <c r="AD178" s="5">
        <f>SUM(U178:Z178)</f>
        <v/>
      </c>
      <c r="AE178" s="5">
        <f>IFERROR(AD178/D178,0)</f>
        <v/>
      </c>
      <c r="AF178" s="5">
        <f>MAX(0,1-R178)</f>
        <v/>
      </c>
      <c r="AG178" s="5">
        <f>IFERROR((H178+I178)*R178*(1+0.10*(3-'WEEKLY INPUT'!R178)),"")</f>
        <v/>
      </c>
      <c r="AH178" s="5">
        <f>IFERROR(AG178/SUMPRODUCT($AG$6:$AG$205),"")</f>
        <v/>
      </c>
      <c r="AI178" s="5">
        <f>IFERROR(AD178*(1-AF178*0.5)*(1+0.15*AE178),0)</f>
        <v/>
      </c>
      <c r="AJ178" s="5">
        <f>IF(A178="","",RANK(AI178,$AI$6:$AI$205,0))</f>
        <v/>
      </c>
      <c r="AK178" s="5">
        <f>IFERROR('WEEKLY INPUT'!Z178,"")</f>
        <v/>
      </c>
    </row>
    <row r="179">
      <c r="A179" s="5">
        <f>IFERROR('WEEKLY INPUT'!A179,"")</f>
        <v/>
      </c>
      <c r="B179" s="5">
        <f>IFERROR('WEEKLY INPUT'!B179,"")</f>
        <v/>
      </c>
      <c r="C179" s="5">
        <f>IFERROR('WEEKLY INPUT'!C179,"")</f>
        <v/>
      </c>
      <c r="D179" s="5">
        <f>IFERROR('WEEKLY INPUT'!D179,0)</f>
        <v/>
      </c>
      <c r="E179" s="5">
        <f>IFERROR('WEEKLY INPUT'!E179,0)</f>
        <v/>
      </c>
      <c r="F179" s="5">
        <f>IFERROR('WEEKLY INPUT'!F179,0)</f>
        <v/>
      </c>
      <c r="G179" s="5">
        <f>IFERROR('WEEKLY INPUT'!Q179,0)</f>
        <v/>
      </c>
      <c r="H179" s="5">
        <f>IFERROR('WEEKLY INPUT'!H179/'WEEKLY INPUT'!F179*90,0)</f>
        <v/>
      </c>
      <c r="I179" s="5">
        <f>IFERROR('WEEKLY INPUT'!I179/'WEEKLY INPUT'!F179*90,0)</f>
        <v/>
      </c>
      <c r="J179" s="5">
        <f>H179+I179</f>
        <v/>
      </c>
      <c r="K179" s="5">
        <f>IFERROR('WEEKLY INPUT'!J179/'WEEKLY INPUT'!F179*90,0)</f>
        <v/>
      </c>
      <c r="L179" s="5">
        <f>IFERROR('WEEKLY INPUT'!K179/'WEEKLY INPUT'!F179*90,0)</f>
        <v/>
      </c>
      <c r="M179" s="5">
        <f>IFERROR('WEEKLY INPUT'!L179/'WEEKLY INPUT'!F179*90,0)</f>
        <v/>
      </c>
      <c r="N179" s="5">
        <f>IFERROR('WEEKLY INPUT'!M179/'WEEKLY INPUT'!F179*90,0)</f>
        <v/>
      </c>
      <c r="O179" s="5">
        <f>IFERROR('WEEKLY INPUT'!N179/'WEEKLY INPUT'!F179*90,0)</f>
        <v/>
      </c>
      <c r="P179" s="5">
        <f>IFERROR('WEEKLY INPUT'!O179/'WEEKLY INPUT'!F179*90,0)</f>
        <v/>
      </c>
      <c r="Q179" s="5">
        <f>IFERROR(('WEEKLY INPUT'!J179*2+'WEEKLY INPUT'!K179*1+'WEEKLY INPUT'!O179*0.2)/'WEEKLY INPUT'!F179,0)</f>
        <v/>
      </c>
      <c r="R179" s="5">
        <f>MAX(0.25,MIN(1.15,(F179/540)*0.5+G179*0.5))</f>
        <v/>
      </c>
      <c r="S179" s="5">
        <f>MAX(0.70,MIN(1.10,0.85+0.15*G179))</f>
        <v/>
      </c>
      <c r="T179" s="5">
        <f>IF(A179="","",2*('WEEKLY INPUT'!P179/90)+(H179*5+I179*3)*('WEEKLY INPUT'!P179/90)+(P179*0.15)*('WEEKLY INPUT'!P179/90)+Q179*0.25)</f>
        <v/>
      </c>
      <c r="U179" s="5">
        <f>IF($A179="","",$T179*(1+($3-'WEEKLY INPUT'!R179)*0.10)*$R179*$S179*1.0)</f>
        <v/>
      </c>
      <c r="V179" s="5">
        <f>IF($A179="","",$T179*(1+($3-'WEEKLY INPUT'!S179)*0.10)*$R179*$S179*0.975)</f>
        <v/>
      </c>
      <c r="W179" s="5">
        <f>IF($A179="","",$T179*(1+($3-'WEEKLY INPUT'!T179)*0.10)*$R179*$S179*0.95)</f>
        <v/>
      </c>
      <c r="X179" s="5">
        <f>IF($A179="","",$T179*(1+($3-'WEEKLY INPUT'!U179)*0.10)*$R179*$S179*0.925)</f>
        <v/>
      </c>
      <c r="Y179" s="5">
        <f>IF($A179="","",$T179*(1+($3-'WEEKLY INPUT'!V179)*0.10)*$R179*$S179*0.9)</f>
        <v/>
      </c>
      <c r="Z179" s="5">
        <f>IF($A179="","",$T179*(1+($3-'WEEKLY INPUT'!W179)*0.10)*$R179*$S179*0.875)</f>
        <v/>
      </c>
      <c r="AA179" s="5">
        <f>IF($A179="","",$T179*(1+($3-'WEEKLY INPUT'!X179)*0.10)*$R179*$S179*0.85)</f>
        <v/>
      </c>
      <c r="AB179" s="5">
        <f>IF($A179="","",$T179*(1+($3-'WEEKLY INPUT'!Y179)*0.10)*$R179*$S179*0.825)</f>
        <v/>
      </c>
      <c r="AC179" s="5">
        <f>SUM(U179:AB179)</f>
        <v/>
      </c>
      <c r="AD179" s="5">
        <f>SUM(U179:Z179)</f>
        <v/>
      </c>
      <c r="AE179" s="5">
        <f>IFERROR(AD179/D179,0)</f>
        <v/>
      </c>
      <c r="AF179" s="5">
        <f>MAX(0,1-R179)</f>
        <v/>
      </c>
      <c r="AG179" s="5">
        <f>IFERROR((H179+I179)*R179*(1+0.10*(3-'WEEKLY INPUT'!R179)),"")</f>
        <v/>
      </c>
      <c r="AH179" s="5">
        <f>IFERROR(AG179/SUMPRODUCT($AG$6:$AG$205),"")</f>
        <v/>
      </c>
      <c r="AI179" s="5">
        <f>IFERROR(AD179*(1-AF179*0.5)*(1+0.15*AE179),0)</f>
        <v/>
      </c>
      <c r="AJ179" s="5">
        <f>IF(A179="","",RANK(AI179,$AI$6:$AI$205,0))</f>
        <v/>
      </c>
      <c r="AK179" s="5">
        <f>IFERROR('WEEKLY INPUT'!Z179,"")</f>
        <v/>
      </c>
    </row>
    <row r="180">
      <c r="A180" s="5">
        <f>IFERROR('WEEKLY INPUT'!A180,"")</f>
        <v/>
      </c>
      <c r="B180" s="5">
        <f>IFERROR('WEEKLY INPUT'!B180,"")</f>
        <v/>
      </c>
      <c r="C180" s="5">
        <f>IFERROR('WEEKLY INPUT'!C180,"")</f>
        <v/>
      </c>
      <c r="D180" s="5">
        <f>IFERROR('WEEKLY INPUT'!D180,0)</f>
        <v/>
      </c>
      <c r="E180" s="5">
        <f>IFERROR('WEEKLY INPUT'!E180,0)</f>
        <v/>
      </c>
      <c r="F180" s="5">
        <f>IFERROR('WEEKLY INPUT'!F180,0)</f>
        <v/>
      </c>
      <c r="G180" s="5">
        <f>IFERROR('WEEKLY INPUT'!Q180,0)</f>
        <v/>
      </c>
      <c r="H180" s="5">
        <f>IFERROR('WEEKLY INPUT'!H180/'WEEKLY INPUT'!F180*90,0)</f>
        <v/>
      </c>
      <c r="I180" s="5">
        <f>IFERROR('WEEKLY INPUT'!I180/'WEEKLY INPUT'!F180*90,0)</f>
        <v/>
      </c>
      <c r="J180" s="5">
        <f>H180+I180</f>
        <v/>
      </c>
      <c r="K180" s="5">
        <f>IFERROR('WEEKLY INPUT'!J180/'WEEKLY INPUT'!F180*90,0)</f>
        <v/>
      </c>
      <c r="L180" s="5">
        <f>IFERROR('WEEKLY INPUT'!K180/'WEEKLY INPUT'!F180*90,0)</f>
        <v/>
      </c>
      <c r="M180" s="5">
        <f>IFERROR('WEEKLY INPUT'!L180/'WEEKLY INPUT'!F180*90,0)</f>
        <v/>
      </c>
      <c r="N180" s="5">
        <f>IFERROR('WEEKLY INPUT'!M180/'WEEKLY INPUT'!F180*90,0)</f>
        <v/>
      </c>
      <c r="O180" s="5">
        <f>IFERROR('WEEKLY INPUT'!N180/'WEEKLY INPUT'!F180*90,0)</f>
        <v/>
      </c>
      <c r="P180" s="5">
        <f>IFERROR('WEEKLY INPUT'!O180/'WEEKLY INPUT'!F180*90,0)</f>
        <v/>
      </c>
      <c r="Q180" s="5">
        <f>IFERROR(('WEEKLY INPUT'!J180*2+'WEEKLY INPUT'!K180*1+'WEEKLY INPUT'!O180*0.2)/'WEEKLY INPUT'!F180,0)</f>
        <v/>
      </c>
      <c r="R180" s="5">
        <f>MAX(0.25,MIN(1.15,(F180/540)*0.5+G180*0.5))</f>
        <v/>
      </c>
      <c r="S180" s="5">
        <f>MAX(0.70,MIN(1.10,0.85+0.15*G180))</f>
        <v/>
      </c>
      <c r="T180" s="5">
        <f>IF(A180="","",2*('WEEKLY INPUT'!P180/90)+(H180*5+I180*3)*('WEEKLY INPUT'!P180/90)+(P180*0.15)*('WEEKLY INPUT'!P180/90)+Q180*0.25)</f>
        <v/>
      </c>
      <c r="U180" s="5">
        <f>IF($A180="","",$T180*(1+($3-'WEEKLY INPUT'!R180)*0.10)*$R180*$S180*1.0)</f>
        <v/>
      </c>
      <c r="V180" s="5">
        <f>IF($A180="","",$T180*(1+($3-'WEEKLY INPUT'!S180)*0.10)*$R180*$S180*0.975)</f>
        <v/>
      </c>
      <c r="W180" s="5">
        <f>IF($A180="","",$T180*(1+($3-'WEEKLY INPUT'!T180)*0.10)*$R180*$S180*0.95)</f>
        <v/>
      </c>
      <c r="X180" s="5">
        <f>IF($A180="","",$T180*(1+($3-'WEEKLY INPUT'!U180)*0.10)*$R180*$S180*0.925)</f>
        <v/>
      </c>
      <c r="Y180" s="5">
        <f>IF($A180="","",$T180*(1+($3-'WEEKLY INPUT'!V180)*0.10)*$R180*$S180*0.9)</f>
        <v/>
      </c>
      <c r="Z180" s="5">
        <f>IF($A180="","",$T180*(1+($3-'WEEKLY INPUT'!W180)*0.10)*$R180*$S180*0.875)</f>
        <v/>
      </c>
      <c r="AA180" s="5">
        <f>IF($A180="","",$T180*(1+($3-'WEEKLY INPUT'!X180)*0.10)*$R180*$S180*0.85)</f>
        <v/>
      </c>
      <c r="AB180" s="5">
        <f>IF($A180="","",$T180*(1+($3-'WEEKLY INPUT'!Y180)*0.10)*$R180*$S180*0.825)</f>
        <v/>
      </c>
      <c r="AC180" s="5">
        <f>SUM(U180:AB180)</f>
        <v/>
      </c>
      <c r="AD180" s="5">
        <f>SUM(U180:Z180)</f>
        <v/>
      </c>
      <c r="AE180" s="5">
        <f>IFERROR(AD180/D180,0)</f>
        <v/>
      </c>
      <c r="AF180" s="5">
        <f>MAX(0,1-R180)</f>
        <v/>
      </c>
      <c r="AG180" s="5">
        <f>IFERROR((H180+I180)*R180*(1+0.10*(3-'WEEKLY INPUT'!R180)),"")</f>
        <v/>
      </c>
      <c r="AH180" s="5">
        <f>IFERROR(AG180/SUMPRODUCT($AG$6:$AG$205),"")</f>
        <v/>
      </c>
      <c r="AI180" s="5">
        <f>IFERROR(AD180*(1-AF180*0.5)*(1+0.15*AE180),0)</f>
        <v/>
      </c>
      <c r="AJ180" s="5">
        <f>IF(A180="","",RANK(AI180,$AI$6:$AI$205,0))</f>
        <v/>
      </c>
      <c r="AK180" s="5">
        <f>IFERROR('WEEKLY INPUT'!Z180,"")</f>
        <v/>
      </c>
    </row>
    <row r="181">
      <c r="A181" s="5">
        <f>IFERROR('WEEKLY INPUT'!A181,"")</f>
        <v/>
      </c>
      <c r="B181" s="5">
        <f>IFERROR('WEEKLY INPUT'!B181,"")</f>
        <v/>
      </c>
      <c r="C181" s="5">
        <f>IFERROR('WEEKLY INPUT'!C181,"")</f>
        <v/>
      </c>
      <c r="D181" s="5">
        <f>IFERROR('WEEKLY INPUT'!D181,0)</f>
        <v/>
      </c>
      <c r="E181" s="5">
        <f>IFERROR('WEEKLY INPUT'!E181,0)</f>
        <v/>
      </c>
      <c r="F181" s="5">
        <f>IFERROR('WEEKLY INPUT'!F181,0)</f>
        <v/>
      </c>
      <c r="G181" s="5">
        <f>IFERROR('WEEKLY INPUT'!Q181,0)</f>
        <v/>
      </c>
      <c r="H181" s="5">
        <f>IFERROR('WEEKLY INPUT'!H181/'WEEKLY INPUT'!F181*90,0)</f>
        <v/>
      </c>
      <c r="I181" s="5">
        <f>IFERROR('WEEKLY INPUT'!I181/'WEEKLY INPUT'!F181*90,0)</f>
        <v/>
      </c>
      <c r="J181" s="5">
        <f>H181+I181</f>
        <v/>
      </c>
      <c r="K181" s="5">
        <f>IFERROR('WEEKLY INPUT'!J181/'WEEKLY INPUT'!F181*90,0)</f>
        <v/>
      </c>
      <c r="L181" s="5">
        <f>IFERROR('WEEKLY INPUT'!K181/'WEEKLY INPUT'!F181*90,0)</f>
        <v/>
      </c>
      <c r="M181" s="5">
        <f>IFERROR('WEEKLY INPUT'!L181/'WEEKLY INPUT'!F181*90,0)</f>
        <v/>
      </c>
      <c r="N181" s="5">
        <f>IFERROR('WEEKLY INPUT'!M181/'WEEKLY INPUT'!F181*90,0)</f>
        <v/>
      </c>
      <c r="O181" s="5">
        <f>IFERROR('WEEKLY INPUT'!N181/'WEEKLY INPUT'!F181*90,0)</f>
        <v/>
      </c>
      <c r="P181" s="5">
        <f>IFERROR('WEEKLY INPUT'!O181/'WEEKLY INPUT'!F181*90,0)</f>
        <v/>
      </c>
      <c r="Q181" s="5">
        <f>IFERROR(('WEEKLY INPUT'!J181*2+'WEEKLY INPUT'!K181*1+'WEEKLY INPUT'!O181*0.2)/'WEEKLY INPUT'!F181,0)</f>
        <v/>
      </c>
      <c r="R181" s="5">
        <f>MAX(0.25,MIN(1.15,(F181/540)*0.5+G181*0.5))</f>
        <v/>
      </c>
      <c r="S181" s="5">
        <f>MAX(0.70,MIN(1.10,0.85+0.15*G181))</f>
        <v/>
      </c>
      <c r="T181" s="5">
        <f>IF(A181="","",2*('WEEKLY INPUT'!P181/90)+(H181*5+I181*3)*('WEEKLY INPUT'!P181/90)+(P181*0.15)*('WEEKLY INPUT'!P181/90)+Q181*0.25)</f>
        <v/>
      </c>
      <c r="U181" s="5">
        <f>IF($A181="","",$T181*(1+($3-'WEEKLY INPUT'!R181)*0.10)*$R181*$S181*1.0)</f>
        <v/>
      </c>
      <c r="V181" s="5">
        <f>IF($A181="","",$T181*(1+($3-'WEEKLY INPUT'!S181)*0.10)*$R181*$S181*0.975)</f>
        <v/>
      </c>
      <c r="W181" s="5">
        <f>IF($A181="","",$T181*(1+($3-'WEEKLY INPUT'!T181)*0.10)*$R181*$S181*0.95)</f>
        <v/>
      </c>
      <c r="X181" s="5">
        <f>IF($A181="","",$T181*(1+($3-'WEEKLY INPUT'!U181)*0.10)*$R181*$S181*0.925)</f>
        <v/>
      </c>
      <c r="Y181" s="5">
        <f>IF($A181="","",$T181*(1+($3-'WEEKLY INPUT'!V181)*0.10)*$R181*$S181*0.9)</f>
        <v/>
      </c>
      <c r="Z181" s="5">
        <f>IF($A181="","",$T181*(1+($3-'WEEKLY INPUT'!W181)*0.10)*$R181*$S181*0.875)</f>
        <v/>
      </c>
      <c r="AA181" s="5">
        <f>IF($A181="","",$T181*(1+($3-'WEEKLY INPUT'!X181)*0.10)*$R181*$S181*0.85)</f>
        <v/>
      </c>
      <c r="AB181" s="5">
        <f>IF($A181="","",$T181*(1+($3-'WEEKLY INPUT'!Y181)*0.10)*$R181*$S181*0.825)</f>
        <v/>
      </c>
      <c r="AC181" s="5">
        <f>SUM(U181:AB181)</f>
        <v/>
      </c>
      <c r="AD181" s="5">
        <f>SUM(U181:Z181)</f>
        <v/>
      </c>
      <c r="AE181" s="5">
        <f>IFERROR(AD181/D181,0)</f>
        <v/>
      </c>
      <c r="AF181" s="5">
        <f>MAX(0,1-R181)</f>
        <v/>
      </c>
      <c r="AG181" s="5">
        <f>IFERROR((H181+I181)*R181*(1+0.10*(3-'WEEKLY INPUT'!R181)),"")</f>
        <v/>
      </c>
      <c r="AH181" s="5">
        <f>IFERROR(AG181/SUMPRODUCT($AG$6:$AG$205),"")</f>
        <v/>
      </c>
      <c r="AI181" s="5">
        <f>IFERROR(AD181*(1-AF181*0.5)*(1+0.15*AE181),0)</f>
        <v/>
      </c>
      <c r="AJ181" s="5">
        <f>IF(A181="","",RANK(AI181,$AI$6:$AI$205,0))</f>
        <v/>
      </c>
      <c r="AK181" s="5">
        <f>IFERROR('WEEKLY INPUT'!Z181,"")</f>
        <v/>
      </c>
    </row>
    <row r="182">
      <c r="A182" s="5">
        <f>IFERROR('WEEKLY INPUT'!A182,"")</f>
        <v/>
      </c>
      <c r="B182" s="5">
        <f>IFERROR('WEEKLY INPUT'!B182,"")</f>
        <v/>
      </c>
      <c r="C182" s="5">
        <f>IFERROR('WEEKLY INPUT'!C182,"")</f>
        <v/>
      </c>
      <c r="D182" s="5">
        <f>IFERROR('WEEKLY INPUT'!D182,0)</f>
        <v/>
      </c>
      <c r="E182" s="5">
        <f>IFERROR('WEEKLY INPUT'!E182,0)</f>
        <v/>
      </c>
      <c r="F182" s="5">
        <f>IFERROR('WEEKLY INPUT'!F182,0)</f>
        <v/>
      </c>
      <c r="G182" s="5">
        <f>IFERROR('WEEKLY INPUT'!Q182,0)</f>
        <v/>
      </c>
      <c r="H182" s="5">
        <f>IFERROR('WEEKLY INPUT'!H182/'WEEKLY INPUT'!F182*90,0)</f>
        <v/>
      </c>
      <c r="I182" s="5">
        <f>IFERROR('WEEKLY INPUT'!I182/'WEEKLY INPUT'!F182*90,0)</f>
        <v/>
      </c>
      <c r="J182" s="5">
        <f>H182+I182</f>
        <v/>
      </c>
      <c r="K182" s="5">
        <f>IFERROR('WEEKLY INPUT'!J182/'WEEKLY INPUT'!F182*90,0)</f>
        <v/>
      </c>
      <c r="L182" s="5">
        <f>IFERROR('WEEKLY INPUT'!K182/'WEEKLY INPUT'!F182*90,0)</f>
        <v/>
      </c>
      <c r="M182" s="5">
        <f>IFERROR('WEEKLY INPUT'!L182/'WEEKLY INPUT'!F182*90,0)</f>
        <v/>
      </c>
      <c r="N182" s="5">
        <f>IFERROR('WEEKLY INPUT'!M182/'WEEKLY INPUT'!F182*90,0)</f>
        <v/>
      </c>
      <c r="O182" s="5">
        <f>IFERROR('WEEKLY INPUT'!N182/'WEEKLY INPUT'!F182*90,0)</f>
        <v/>
      </c>
      <c r="P182" s="5">
        <f>IFERROR('WEEKLY INPUT'!O182/'WEEKLY INPUT'!F182*90,0)</f>
        <v/>
      </c>
      <c r="Q182" s="5">
        <f>IFERROR(('WEEKLY INPUT'!J182*2+'WEEKLY INPUT'!K182*1+'WEEKLY INPUT'!O182*0.2)/'WEEKLY INPUT'!F182,0)</f>
        <v/>
      </c>
      <c r="R182" s="5">
        <f>MAX(0.25,MIN(1.15,(F182/540)*0.5+G182*0.5))</f>
        <v/>
      </c>
      <c r="S182" s="5">
        <f>MAX(0.70,MIN(1.10,0.85+0.15*G182))</f>
        <v/>
      </c>
      <c r="T182" s="5">
        <f>IF(A182="","",2*('WEEKLY INPUT'!P182/90)+(H182*5+I182*3)*('WEEKLY INPUT'!P182/90)+(P182*0.15)*('WEEKLY INPUT'!P182/90)+Q182*0.25)</f>
        <v/>
      </c>
      <c r="U182" s="5">
        <f>IF($A182="","",$T182*(1+($3-'WEEKLY INPUT'!R182)*0.10)*$R182*$S182*1.0)</f>
        <v/>
      </c>
      <c r="V182" s="5">
        <f>IF($A182="","",$T182*(1+($3-'WEEKLY INPUT'!S182)*0.10)*$R182*$S182*0.975)</f>
        <v/>
      </c>
      <c r="W182" s="5">
        <f>IF($A182="","",$T182*(1+($3-'WEEKLY INPUT'!T182)*0.10)*$R182*$S182*0.95)</f>
        <v/>
      </c>
      <c r="X182" s="5">
        <f>IF($A182="","",$T182*(1+($3-'WEEKLY INPUT'!U182)*0.10)*$R182*$S182*0.925)</f>
        <v/>
      </c>
      <c r="Y182" s="5">
        <f>IF($A182="","",$T182*(1+($3-'WEEKLY INPUT'!V182)*0.10)*$R182*$S182*0.9)</f>
        <v/>
      </c>
      <c r="Z182" s="5">
        <f>IF($A182="","",$T182*(1+($3-'WEEKLY INPUT'!W182)*0.10)*$R182*$S182*0.875)</f>
        <v/>
      </c>
      <c r="AA182" s="5">
        <f>IF($A182="","",$T182*(1+($3-'WEEKLY INPUT'!X182)*0.10)*$R182*$S182*0.85)</f>
        <v/>
      </c>
      <c r="AB182" s="5">
        <f>IF($A182="","",$T182*(1+($3-'WEEKLY INPUT'!Y182)*0.10)*$R182*$S182*0.825)</f>
        <v/>
      </c>
      <c r="AC182" s="5">
        <f>SUM(U182:AB182)</f>
        <v/>
      </c>
      <c r="AD182" s="5">
        <f>SUM(U182:Z182)</f>
        <v/>
      </c>
      <c r="AE182" s="5">
        <f>IFERROR(AD182/D182,0)</f>
        <v/>
      </c>
      <c r="AF182" s="5">
        <f>MAX(0,1-R182)</f>
        <v/>
      </c>
      <c r="AG182" s="5">
        <f>IFERROR((H182+I182)*R182*(1+0.10*(3-'WEEKLY INPUT'!R182)),"")</f>
        <v/>
      </c>
      <c r="AH182" s="5">
        <f>IFERROR(AG182/SUMPRODUCT($AG$6:$AG$205),"")</f>
        <v/>
      </c>
      <c r="AI182" s="5">
        <f>IFERROR(AD182*(1-AF182*0.5)*(1+0.15*AE182),0)</f>
        <v/>
      </c>
      <c r="AJ182" s="5">
        <f>IF(A182="","",RANK(AI182,$AI$6:$AI$205,0))</f>
        <v/>
      </c>
      <c r="AK182" s="5">
        <f>IFERROR('WEEKLY INPUT'!Z182,"")</f>
        <v/>
      </c>
    </row>
    <row r="183">
      <c r="A183" s="5">
        <f>IFERROR('WEEKLY INPUT'!A183,"")</f>
        <v/>
      </c>
      <c r="B183" s="5">
        <f>IFERROR('WEEKLY INPUT'!B183,"")</f>
        <v/>
      </c>
      <c r="C183" s="5">
        <f>IFERROR('WEEKLY INPUT'!C183,"")</f>
        <v/>
      </c>
      <c r="D183" s="5">
        <f>IFERROR('WEEKLY INPUT'!D183,0)</f>
        <v/>
      </c>
      <c r="E183" s="5">
        <f>IFERROR('WEEKLY INPUT'!E183,0)</f>
        <v/>
      </c>
      <c r="F183" s="5">
        <f>IFERROR('WEEKLY INPUT'!F183,0)</f>
        <v/>
      </c>
      <c r="G183" s="5">
        <f>IFERROR('WEEKLY INPUT'!Q183,0)</f>
        <v/>
      </c>
      <c r="H183" s="5">
        <f>IFERROR('WEEKLY INPUT'!H183/'WEEKLY INPUT'!F183*90,0)</f>
        <v/>
      </c>
      <c r="I183" s="5">
        <f>IFERROR('WEEKLY INPUT'!I183/'WEEKLY INPUT'!F183*90,0)</f>
        <v/>
      </c>
      <c r="J183" s="5">
        <f>H183+I183</f>
        <v/>
      </c>
      <c r="K183" s="5">
        <f>IFERROR('WEEKLY INPUT'!J183/'WEEKLY INPUT'!F183*90,0)</f>
        <v/>
      </c>
      <c r="L183" s="5">
        <f>IFERROR('WEEKLY INPUT'!K183/'WEEKLY INPUT'!F183*90,0)</f>
        <v/>
      </c>
      <c r="M183" s="5">
        <f>IFERROR('WEEKLY INPUT'!L183/'WEEKLY INPUT'!F183*90,0)</f>
        <v/>
      </c>
      <c r="N183" s="5">
        <f>IFERROR('WEEKLY INPUT'!M183/'WEEKLY INPUT'!F183*90,0)</f>
        <v/>
      </c>
      <c r="O183" s="5">
        <f>IFERROR('WEEKLY INPUT'!N183/'WEEKLY INPUT'!F183*90,0)</f>
        <v/>
      </c>
      <c r="P183" s="5">
        <f>IFERROR('WEEKLY INPUT'!O183/'WEEKLY INPUT'!F183*90,0)</f>
        <v/>
      </c>
      <c r="Q183" s="5">
        <f>IFERROR(('WEEKLY INPUT'!J183*2+'WEEKLY INPUT'!K183*1+'WEEKLY INPUT'!O183*0.2)/'WEEKLY INPUT'!F183,0)</f>
        <v/>
      </c>
      <c r="R183" s="5">
        <f>MAX(0.25,MIN(1.15,(F183/540)*0.5+G183*0.5))</f>
        <v/>
      </c>
      <c r="S183" s="5">
        <f>MAX(0.70,MIN(1.10,0.85+0.15*G183))</f>
        <v/>
      </c>
      <c r="T183" s="5">
        <f>IF(A183="","",2*('WEEKLY INPUT'!P183/90)+(H183*5+I183*3)*('WEEKLY INPUT'!P183/90)+(P183*0.15)*('WEEKLY INPUT'!P183/90)+Q183*0.25)</f>
        <v/>
      </c>
      <c r="U183" s="5">
        <f>IF($A183="","",$T183*(1+($3-'WEEKLY INPUT'!R183)*0.10)*$R183*$S183*1.0)</f>
        <v/>
      </c>
      <c r="V183" s="5">
        <f>IF($A183="","",$T183*(1+($3-'WEEKLY INPUT'!S183)*0.10)*$R183*$S183*0.975)</f>
        <v/>
      </c>
      <c r="W183" s="5">
        <f>IF($A183="","",$T183*(1+($3-'WEEKLY INPUT'!T183)*0.10)*$R183*$S183*0.95)</f>
        <v/>
      </c>
      <c r="X183" s="5">
        <f>IF($A183="","",$T183*(1+($3-'WEEKLY INPUT'!U183)*0.10)*$R183*$S183*0.925)</f>
        <v/>
      </c>
      <c r="Y183" s="5">
        <f>IF($A183="","",$T183*(1+($3-'WEEKLY INPUT'!V183)*0.10)*$R183*$S183*0.9)</f>
        <v/>
      </c>
      <c r="Z183" s="5">
        <f>IF($A183="","",$T183*(1+($3-'WEEKLY INPUT'!W183)*0.10)*$R183*$S183*0.875)</f>
        <v/>
      </c>
      <c r="AA183" s="5">
        <f>IF($A183="","",$T183*(1+($3-'WEEKLY INPUT'!X183)*0.10)*$R183*$S183*0.85)</f>
        <v/>
      </c>
      <c r="AB183" s="5">
        <f>IF($A183="","",$T183*(1+($3-'WEEKLY INPUT'!Y183)*0.10)*$R183*$S183*0.825)</f>
        <v/>
      </c>
      <c r="AC183" s="5">
        <f>SUM(U183:AB183)</f>
        <v/>
      </c>
      <c r="AD183" s="5">
        <f>SUM(U183:Z183)</f>
        <v/>
      </c>
      <c r="AE183" s="5">
        <f>IFERROR(AD183/D183,0)</f>
        <v/>
      </c>
      <c r="AF183" s="5">
        <f>MAX(0,1-R183)</f>
        <v/>
      </c>
      <c r="AG183" s="5">
        <f>IFERROR((H183+I183)*R183*(1+0.10*(3-'WEEKLY INPUT'!R183)),"")</f>
        <v/>
      </c>
      <c r="AH183" s="5">
        <f>IFERROR(AG183/SUMPRODUCT($AG$6:$AG$205),"")</f>
        <v/>
      </c>
      <c r="AI183" s="5">
        <f>IFERROR(AD183*(1-AF183*0.5)*(1+0.15*AE183),0)</f>
        <v/>
      </c>
      <c r="AJ183" s="5">
        <f>IF(A183="","",RANK(AI183,$AI$6:$AI$205,0))</f>
        <v/>
      </c>
      <c r="AK183" s="5">
        <f>IFERROR('WEEKLY INPUT'!Z183,"")</f>
        <v/>
      </c>
    </row>
    <row r="184">
      <c r="A184" s="5">
        <f>IFERROR('WEEKLY INPUT'!A184,"")</f>
        <v/>
      </c>
      <c r="B184" s="5">
        <f>IFERROR('WEEKLY INPUT'!B184,"")</f>
        <v/>
      </c>
      <c r="C184" s="5">
        <f>IFERROR('WEEKLY INPUT'!C184,"")</f>
        <v/>
      </c>
      <c r="D184" s="5">
        <f>IFERROR('WEEKLY INPUT'!D184,0)</f>
        <v/>
      </c>
      <c r="E184" s="5">
        <f>IFERROR('WEEKLY INPUT'!E184,0)</f>
        <v/>
      </c>
      <c r="F184" s="5">
        <f>IFERROR('WEEKLY INPUT'!F184,0)</f>
        <v/>
      </c>
      <c r="G184" s="5">
        <f>IFERROR('WEEKLY INPUT'!Q184,0)</f>
        <v/>
      </c>
      <c r="H184" s="5">
        <f>IFERROR('WEEKLY INPUT'!H184/'WEEKLY INPUT'!F184*90,0)</f>
        <v/>
      </c>
      <c r="I184" s="5">
        <f>IFERROR('WEEKLY INPUT'!I184/'WEEKLY INPUT'!F184*90,0)</f>
        <v/>
      </c>
      <c r="J184" s="5">
        <f>H184+I184</f>
        <v/>
      </c>
      <c r="K184" s="5">
        <f>IFERROR('WEEKLY INPUT'!J184/'WEEKLY INPUT'!F184*90,0)</f>
        <v/>
      </c>
      <c r="L184" s="5">
        <f>IFERROR('WEEKLY INPUT'!K184/'WEEKLY INPUT'!F184*90,0)</f>
        <v/>
      </c>
      <c r="M184" s="5">
        <f>IFERROR('WEEKLY INPUT'!L184/'WEEKLY INPUT'!F184*90,0)</f>
        <v/>
      </c>
      <c r="N184" s="5">
        <f>IFERROR('WEEKLY INPUT'!M184/'WEEKLY INPUT'!F184*90,0)</f>
        <v/>
      </c>
      <c r="O184" s="5">
        <f>IFERROR('WEEKLY INPUT'!N184/'WEEKLY INPUT'!F184*90,0)</f>
        <v/>
      </c>
      <c r="P184" s="5">
        <f>IFERROR('WEEKLY INPUT'!O184/'WEEKLY INPUT'!F184*90,0)</f>
        <v/>
      </c>
      <c r="Q184" s="5">
        <f>IFERROR(('WEEKLY INPUT'!J184*2+'WEEKLY INPUT'!K184*1+'WEEKLY INPUT'!O184*0.2)/'WEEKLY INPUT'!F184,0)</f>
        <v/>
      </c>
      <c r="R184" s="5">
        <f>MAX(0.25,MIN(1.15,(F184/540)*0.5+G184*0.5))</f>
        <v/>
      </c>
      <c r="S184" s="5">
        <f>MAX(0.70,MIN(1.10,0.85+0.15*G184))</f>
        <v/>
      </c>
      <c r="T184" s="5">
        <f>IF(A184="","",2*('WEEKLY INPUT'!P184/90)+(H184*5+I184*3)*('WEEKLY INPUT'!P184/90)+(P184*0.15)*('WEEKLY INPUT'!P184/90)+Q184*0.25)</f>
        <v/>
      </c>
      <c r="U184" s="5">
        <f>IF($A184="","",$T184*(1+($3-'WEEKLY INPUT'!R184)*0.10)*$R184*$S184*1.0)</f>
        <v/>
      </c>
      <c r="V184" s="5">
        <f>IF($A184="","",$T184*(1+($3-'WEEKLY INPUT'!S184)*0.10)*$R184*$S184*0.975)</f>
        <v/>
      </c>
      <c r="W184" s="5">
        <f>IF($A184="","",$T184*(1+($3-'WEEKLY INPUT'!T184)*0.10)*$R184*$S184*0.95)</f>
        <v/>
      </c>
      <c r="X184" s="5">
        <f>IF($A184="","",$T184*(1+($3-'WEEKLY INPUT'!U184)*0.10)*$R184*$S184*0.925)</f>
        <v/>
      </c>
      <c r="Y184" s="5">
        <f>IF($A184="","",$T184*(1+($3-'WEEKLY INPUT'!V184)*0.10)*$R184*$S184*0.9)</f>
        <v/>
      </c>
      <c r="Z184" s="5">
        <f>IF($A184="","",$T184*(1+($3-'WEEKLY INPUT'!W184)*0.10)*$R184*$S184*0.875)</f>
        <v/>
      </c>
      <c r="AA184" s="5">
        <f>IF($A184="","",$T184*(1+($3-'WEEKLY INPUT'!X184)*0.10)*$R184*$S184*0.85)</f>
        <v/>
      </c>
      <c r="AB184" s="5">
        <f>IF($A184="","",$T184*(1+($3-'WEEKLY INPUT'!Y184)*0.10)*$R184*$S184*0.825)</f>
        <v/>
      </c>
      <c r="AC184" s="5">
        <f>SUM(U184:AB184)</f>
        <v/>
      </c>
      <c r="AD184" s="5">
        <f>SUM(U184:Z184)</f>
        <v/>
      </c>
      <c r="AE184" s="5">
        <f>IFERROR(AD184/D184,0)</f>
        <v/>
      </c>
      <c r="AF184" s="5">
        <f>MAX(0,1-R184)</f>
        <v/>
      </c>
      <c r="AG184" s="5">
        <f>IFERROR((H184+I184)*R184*(1+0.10*(3-'WEEKLY INPUT'!R184)),"")</f>
        <v/>
      </c>
      <c r="AH184" s="5">
        <f>IFERROR(AG184/SUMPRODUCT($AG$6:$AG$205),"")</f>
        <v/>
      </c>
      <c r="AI184" s="5">
        <f>IFERROR(AD184*(1-AF184*0.5)*(1+0.15*AE184),0)</f>
        <v/>
      </c>
      <c r="AJ184" s="5">
        <f>IF(A184="","",RANK(AI184,$AI$6:$AI$205,0))</f>
        <v/>
      </c>
      <c r="AK184" s="5">
        <f>IFERROR('WEEKLY INPUT'!Z184,"")</f>
        <v/>
      </c>
    </row>
    <row r="185">
      <c r="A185" s="5">
        <f>IFERROR('WEEKLY INPUT'!A185,"")</f>
        <v/>
      </c>
      <c r="B185" s="5">
        <f>IFERROR('WEEKLY INPUT'!B185,"")</f>
        <v/>
      </c>
      <c r="C185" s="5">
        <f>IFERROR('WEEKLY INPUT'!C185,"")</f>
        <v/>
      </c>
      <c r="D185" s="5">
        <f>IFERROR('WEEKLY INPUT'!D185,0)</f>
        <v/>
      </c>
      <c r="E185" s="5">
        <f>IFERROR('WEEKLY INPUT'!E185,0)</f>
        <v/>
      </c>
      <c r="F185" s="5">
        <f>IFERROR('WEEKLY INPUT'!F185,0)</f>
        <v/>
      </c>
      <c r="G185" s="5">
        <f>IFERROR('WEEKLY INPUT'!Q185,0)</f>
        <v/>
      </c>
      <c r="H185" s="5">
        <f>IFERROR('WEEKLY INPUT'!H185/'WEEKLY INPUT'!F185*90,0)</f>
        <v/>
      </c>
      <c r="I185" s="5">
        <f>IFERROR('WEEKLY INPUT'!I185/'WEEKLY INPUT'!F185*90,0)</f>
        <v/>
      </c>
      <c r="J185" s="5">
        <f>H185+I185</f>
        <v/>
      </c>
      <c r="K185" s="5">
        <f>IFERROR('WEEKLY INPUT'!J185/'WEEKLY INPUT'!F185*90,0)</f>
        <v/>
      </c>
      <c r="L185" s="5">
        <f>IFERROR('WEEKLY INPUT'!K185/'WEEKLY INPUT'!F185*90,0)</f>
        <v/>
      </c>
      <c r="M185" s="5">
        <f>IFERROR('WEEKLY INPUT'!L185/'WEEKLY INPUT'!F185*90,0)</f>
        <v/>
      </c>
      <c r="N185" s="5">
        <f>IFERROR('WEEKLY INPUT'!M185/'WEEKLY INPUT'!F185*90,0)</f>
        <v/>
      </c>
      <c r="O185" s="5">
        <f>IFERROR('WEEKLY INPUT'!N185/'WEEKLY INPUT'!F185*90,0)</f>
        <v/>
      </c>
      <c r="P185" s="5">
        <f>IFERROR('WEEKLY INPUT'!O185/'WEEKLY INPUT'!F185*90,0)</f>
        <v/>
      </c>
      <c r="Q185" s="5">
        <f>IFERROR(('WEEKLY INPUT'!J185*2+'WEEKLY INPUT'!K185*1+'WEEKLY INPUT'!O185*0.2)/'WEEKLY INPUT'!F185,0)</f>
        <v/>
      </c>
      <c r="R185" s="5">
        <f>MAX(0.25,MIN(1.15,(F185/540)*0.5+G185*0.5))</f>
        <v/>
      </c>
      <c r="S185" s="5">
        <f>MAX(0.70,MIN(1.10,0.85+0.15*G185))</f>
        <v/>
      </c>
      <c r="T185" s="5">
        <f>IF(A185="","",2*('WEEKLY INPUT'!P185/90)+(H185*5+I185*3)*('WEEKLY INPUT'!P185/90)+(P185*0.15)*('WEEKLY INPUT'!P185/90)+Q185*0.25)</f>
        <v/>
      </c>
      <c r="U185" s="5">
        <f>IF($A185="","",$T185*(1+($3-'WEEKLY INPUT'!R185)*0.10)*$R185*$S185*1.0)</f>
        <v/>
      </c>
      <c r="V185" s="5">
        <f>IF($A185="","",$T185*(1+($3-'WEEKLY INPUT'!S185)*0.10)*$R185*$S185*0.975)</f>
        <v/>
      </c>
      <c r="W185" s="5">
        <f>IF($A185="","",$T185*(1+($3-'WEEKLY INPUT'!T185)*0.10)*$R185*$S185*0.95)</f>
        <v/>
      </c>
      <c r="X185" s="5">
        <f>IF($A185="","",$T185*(1+($3-'WEEKLY INPUT'!U185)*0.10)*$R185*$S185*0.925)</f>
        <v/>
      </c>
      <c r="Y185" s="5">
        <f>IF($A185="","",$T185*(1+($3-'WEEKLY INPUT'!V185)*0.10)*$R185*$S185*0.9)</f>
        <v/>
      </c>
      <c r="Z185" s="5">
        <f>IF($A185="","",$T185*(1+($3-'WEEKLY INPUT'!W185)*0.10)*$R185*$S185*0.875)</f>
        <v/>
      </c>
      <c r="AA185" s="5">
        <f>IF($A185="","",$T185*(1+($3-'WEEKLY INPUT'!X185)*0.10)*$R185*$S185*0.85)</f>
        <v/>
      </c>
      <c r="AB185" s="5">
        <f>IF($A185="","",$T185*(1+($3-'WEEKLY INPUT'!Y185)*0.10)*$R185*$S185*0.825)</f>
        <v/>
      </c>
      <c r="AC185" s="5">
        <f>SUM(U185:AB185)</f>
        <v/>
      </c>
      <c r="AD185" s="5">
        <f>SUM(U185:Z185)</f>
        <v/>
      </c>
      <c r="AE185" s="5">
        <f>IFERROR(AD185/D185,0)</f>
        <v/>
      </c>
      <c r="AF185" s="5">
        <f>MAX(0,1-R185)</f>
        <v/>
      </c>
      <c r="AG185" s="5">
        <f>IFERROR((H185+I185)*R185*(1+0.10*(3-'WEEKLY INPUT'!R185)),"")</f>
        <v/>
      </c>
      <c r="AH185" s="5">
        <f>IFERROR(AG185/SUMPRODUCT($AG$6:$AG$205),"")</f>
        <v/>
      </c>
      <c r="AI185" s="5">
        <f>IFERROR(AD185*(1-AF185*0.5)*(1+0.15*AE185),0)</f>
        <v/>
      </c>
      <c r="AJ185" s="5">
        <f>IF(A185="","",RANK(AI185,$AI$6:$AI$205,0))</f>
        <v/>
      </c>
      <c r="AK185" s="5">
        <f>IFERROR('WEEKLY INPUT'!Z185,"")</f>
        <v/>
      </c>
    </row>
    <row r="186">
      <c r="A186" s="5">
        <f>IFERROR('WEEKLY INPUT'!A186,"")</f>
        <v/>
      </c>
      <c r="B186" s="5">
        <f>IFERROR('WEEKLY INPUT'!B186,"")</f>
        <v/>
      </c>
      <c r="C186" s="5">
        <f>IFERROR('WEEKLY INPUT'!C186,"")</f>
        <v/>
      </c>
      <c r="D186" s="5">
        <f>IFERROR('WEEKLY INPUT'!D186,0)</f>
        <v/>
      </c>
      <c r="E186" s="5">
        <f>IFERROR('WEEKLY INPUT'!E186,0)</f>
        <v/>
      </c>
      <c r="F186" s="5">
        <f>IFERROR('WEEKLY INPUT'!F186,0)</f>
        <v/>
      </c>
      <c r="G186" s="5">
        <f>IFERROR('WEEKLY INPUT'!Q186,0)</f>
        <v/>
      </c>
      <c r="H186" s="5">
        <f>IFERROR('WEEKLY INPUT'!H186/'WEEKLY INPUT'!F186*90,0)</f>
        <v/>
      </c>
      <c r="I186" s="5">
        <f>IFERROR('WEEKLY INPUT'!I186/'WEEKLY INPUT'!F186*90,0)</f>
        <v/>
      </c>
      <c r="J186" s="5">
        <f>H186+I186</f>
        <v/>
      </c>
      <c r="K186" s="5">
        <f>IFERROR('WEEKLY INPUT'!J186/'WEEKLY INPUT'!F186*90,0)</f>
        <v/>
      </c>
      <c r="L186" s="5">
        <f>IFERROR('WEEKLY INPUT'!K186/'WEEKLY INPUT'!F186*90,0)</f>
        <v/>
      </c>
      <c r="M186" s="5">
        <f>IFERROR('WEEKLY INPUT'!L186/'WEEKLY INPUT'!F186*90,0)</f>
        <v/>
      </c>
      <c r="N186" s="5">
        <f>IFERROR('WEEKLY INPUT'!M186/'WEEKLY INPUT'!F186*90,0)</f>
        <v/>
      </c>
      <c r="O186" s="5">
        <f>IFERROR('WEEKLY INPUT'!N186/'WEEKLY INPUT'!F186*90,0)</f>
        <v/>
      </c>
      <c r="P186" s="5">
        <f>IFERROR('WEEKLY INPUT'!O186/'WEEKLY INPUT'!F186*90,0)</f>
        <v/>
      </c>
      <c r="Q186" s="5">
        <f>IFERROR(('WEEKLY INPUT'!J186*2+'WEEKLY INPUT'!K186*1+'WEEKLY INPUT'!O186*0.2)/'WEEKLY INPUT'!F186,0)</f>
        <v/>
      </c>
      <c r="R186" s="5">
        <f>MAX(0.25,MIN(1.15,(F186/540)*0.5+G186*0.5))</f>
        <v/>
      </c>
      <c r="S186" s="5">
        <f>MAX(0.70,MIN(1.10,0.85+0.15*G186))</f>
        <v/>
      </c>
      <c r="T186" s="5">
        <f>IF(A186="","",2*('WEEKLY INPUT'!P186/90)+(H186*5+I186*3)*('WEEKLY INPUT'!P186/90)+(P186*0.15)*('WEEKLY INPUT'!P186/90)+Q186*0.25)</f>
        <v/>
      </c>
      <c r="U186" s="5">
        <f>IF($A186="","",$T186*(1+($3-'WEEKLY INPUT'!R186)*0.10)*$R186*$S186*1.0)</f>
        <v/>
      </c>
      <c r="V186" s="5">
        <f>IF($A186="","",$T186*(1+($3-'WEEKLY INPUT'!S186)*0.10)*$R186*$S186*0.975)</f>
        <v/>
      </c>
      <c r="W186" s="5">
        <f>IF($A186="","",$T186*(1+($3-'WEEKLY INPUT'!T186)*0.10)*$R186*$S186*0.95)</f>
        <v/>
      </c>
      <c r="X186" s="5">
        <f>IF($A186="","",$T186*(1+($3-'WEEKLY INPUT'!U186)*0.10)*$R186*$S186*0.925)</f>
        <v/>
      </c>
      <c r="Y186" s="5">
        <f>IF($A186="","",$T186*(1+($3-'WEEKLY INPUT'!V186)*0.10)*$R186*$S186*0.9)</f>
        <v/>
      </c>
      <c r="Z186" s="5">
        <f>IF($A186="","",$T186*(1+($3-'WEEKLY INPUT'!W186)*0.10)*$R186*$S186*0.875)</f>
        <v/>
      </c>
      <c r="AA186" s="5">
        <f>IF($A186="","",$T186*(1+($3-'WEEKLY INPUT'!X186)*0.10)*$R186*$S186*0.85)</f>
        <v/>
      </c>
      <c r="AB186" s="5">
        <f>IF($A186="","",$T186*(1+($3-'WEEKLY INPUT'!Y186)*0.10)*$R186*$S186*0.825)</f>
        <v/>
      </c>
      <c r="AC186" s="5">
        <f>SUM(U186:AB186)</f>
        <v/>
      </c>
      <c r="AD186" s="5">
        <f>SUM(U186:Z186)</f>
        <v/>
      </c>
      <c r="AE186" s="5">
        <f>IFERROR(AD186/D186,0)</f>
        <v/>
      </c>
      <c r="AF186" s="5">
        <f>MAX(0,1-R186)</f>
        <v/>
      </c>
      <c r="AG186" s="5">
        <f>IFERROR((H186+I186)*R186*(1+0.10*(3-'WEEKLY INPUT'!R186)),"")</f>
        <v/>
      </c>
      <c r="AH186" s="5">
        <f>IFERROR(AG186/SUMPRODUCT($AG$6:$AG$205),"")</f>
        <v/>
      </c>
      <c r="AI186" s="5">
        <f>IFERROR(AD186*(1-AF186*0.5)*(1+0.15*AE186),0)</f>
        <v/>
      </c>
      <c r="AJ186" s="5">
        <f>IF(A186="","",RANK(AI186,$AI$6:$AI$205,0))</f>
        <v/>
      </c>
      <c r="AK186" s="5">
        <f>IFERROR('WEEKLY INPUT'!Z186,"")</f>
        <v/>
      </c>
    </row>
    <row r="187">
      <c r="A187" s="5">
        <f>IFERROR('WEEKLY INPUT'!A187,"")</f>
        <v/>
      </c>
      <c r="B187" s="5">
        <f>IFERROR('WEEKLY INPUT'!B187,"")</f>
        <v/>
      </c>
      <c r="C187" s="5">
        <f>IFERROR('WEEKLY INPUT'!C187,"")</f>
        <v/>
      </c>
      <c r="D187" s="5">
        <f>IFERROR('WEEKLY INPUT'!D187,0)</f>
        <v/>
      </c>
      <c r="E187" s="5">
        <f>IFERROR('WEEKLY INPUT'!E187,0)</f>
        <v/>
      </c>
      <c r="F187" s="5">
        <f>IFERROR('WEEKLY INPUT'!F187,0)</f>
        <v/>
      </c>
      <c r="G187" s="5">
        <f>IFERROR('WEEKLY INPUT'!Q187,0)</f>
        <v/>
      </c>
      <c r="H187" s="5">
        <f>IFERROR('WEEKLY INPUT'!H187/'WEEKLY INPUT'!F187*90,0)</f>
        <v/>
      </c>
      <c r="I187" s="5">
        <f>IFERROR('WEEKLY INPUT'!I187/'WEEKLY INPUT'!F187*90,0)</f>
        <v/>
      </c>
      <c r="J187" s="5">
        <f>H187+I187</f>
        <v/>
      </c>
      <c r="K187" s="5">
        <f>IFERROR('WEEKLY INPUT'!J187/'WEEKLY INPUT'!F187*90,0)</f>
        <v/>
      </c>
      <c r="L187" s="5">
        <f>IFERROR('WEEKLY INPUT'!K187/'WEEKLY INPUT'!F187*90,0)</f>
        <v/>
      </c>
      <c r="M187" s="5">
        <f>IFERROR('WEEKLY INPUT'!L187/'WEEKLY INPUT'!F187*90,0)</f>
        <v/>
      </c>
      <c r="N187" s="5">
        <f>IFERROR('WEEKLY INPUT'!M187/'WEEKLY INPUT'!F187*90,0)</f>
        <v/>
      </c>
      <c r="O187" s="5">
        <f>IFERROR('WEEKLY INPUT'!N187/'WEEKLY INPUT'!F187*90,0)</f>
        <v/>
      </c>
      <c r="P187" s="5">
        <f>IFERROR('WEEKLY INPUT'!O187/'WEEKLY INPUT'!F187*90,0)</f>
        <v/>
      </c>
      <c r="Q187" s="5">
        <f>IFERROR(('WEEKLY INPUT'!J187*2+'WEEKLY INPUT'!K187*1+'WEEKLY INPUT'!O187*0.2)/'WEEKLY INPUT'!F187,0)</f>
        <v/>
      </c>
      <c r="R187" s="5">
        <f>MAX(0.25,MIN(1.15,(F187/540)*0.5+G187*0.5))</f>
        <v/>
      </c>
      <c r="S187" s="5">
        <f>MAX(0.70,MIN(1.10,0.85+0.15*G187))</f>
        <v/>
      </c>
      <c r="T187" s="5">
        <f>IF(A187="","",2*('WEEKLY INPUT'!P187/90)+(H187*5+I187*3)*('WEEKLY INPUT'!P187/90)+(P187*0.15)*('WEEKLY INPUT'!P187/90)+Q187*0.25)</f>
        <v/>
      </c>
      <c r="U187" s="5">
        <f>IF($A187="","",$T187*(1+($3-'WEEKLY INPUT'!R187)*0.10)*$R187*$S187*1.0)</f>
        <v/>
      </c>
      <c r="V187" s="5">
        <f>IF($A187="","",$T187*(1+($3-'WEEKLY INPUT'!S187)*0.10)*$R187*$S187*0.975)</f>
        <v/>
      </c>
      <c r="W187" s="5">
        <f>IF($A187="","",$T187*(1+($3-'WEEKLY INPUT'!T187)*0.10)*$R187*$S187*0.95)</f>
        <v/>
      </c>
      <c r="X187" s="5">
        <f>IF($A187="","",$T187*(1+($3-'WEEKLY INPUT'!U187)*0.10)*$R187*$S187*0.925)</f>
        <v/>
      </c>
      <c r="Y187" s="5">
        <f>IF($A187="","",$T187*(1+($3-'WEEKLY INPUT'!V187)*0.10)*$R187*$S187*0.9)</f>
        <v/>
      </c>
      <c r="Z187" s="5">
        <f>IF($A187="","",$T187*(1+($3-'WEEKLY INPUT'!W187)*0.10)*$R187*$S187*0.875)</f>
        <v/>
      </c>
      <c r="AA187" s="5">
        <f>IF($A187="","",$T187*(1+($3-'WEEKLY INPUT'!X187)*0.10)*$R187*$S187*0.85)</f>
        <v/>
      </c>
      <c r="AB187" s="5">
        <f>IF($A187="","",$T187*(1+($3-'WEEKLY INPUT'!Y187)*0.10)*$R187*$S187*0.825)</f>
        <v/>
      </c>
      <c r="AC187" s="5">
        <f>SUM(U187:AB187)</f>
        <v/>
      </c>
      <c r="AD187" s="5">
        <f>SUM(U187:Z187)</f>
        <v/>
      </c>
      <c r="AE187" s="5">
        <f>IFERROR(AD187/D187,0)</f>
        <v/>
      </c>
      <c r="AF187" s="5">
        <f>MAX(0,1-R187)</f>
        <v/>
      </c>
      <c r="AG187" s="5">
        <f>IFERROR((H187+I187)*R187*(1+0.10*(3-'WEEKLY INPUT'!R187)),"")</f>
        <v/>
      </c>
      <c r="AH187" s="5">
        <f>IFERROR(AG187/SUMPRODUCT($AG$6:$AG$205),"")</f>
        <v/>
      </c>
      <c r="AI187" s="5">
        <f>IFERROR(AD187*(1-AF187*0.5)*(1+0.15*AE187),0)</f>
        <v/>
      </c>
      <c r="AJ187" s="5">
        <f>IF(A187="","",RANK(AI187,$AI$6:$AI$205,0))</f>
        <v/>
      </c>
      <c r="AK187" s="5">
        <f>IFERROR('WEEKLY INPUT'!Z187,"")</f>
        <v/>
      </c>
    </row>
    <row r="188">
      <c r="A188" s="5">
        <f>IFERROR('WEEKLY INPUT'!A188,"")</f>
        <v/>
      </c>
      <c r="B188" s="5">
        <f>IFERROR('WEEKLY INPUT'!B188,"")</f>
        <v/>
      </c>
      <c r="C188" s="5">
        <f>IFERROR('WEEKLY INPUT'!C188,"")</f>
        <v/>
      </c>
      <c r="D188" s="5">
        <f>IFERROR('WEEKLY INPUT'!D188,0)</f>
        <v/>
      </c>
      <c r="E188" s="5">
        <f>IFERROR('WEEKLY INPUT'!E188,0)</f>
        <v/>
      </c>
      <c r="F188" s="5">
        <f>IFERROR('WEEKLY INPUT'!F188,0)</f>
        <v/>
      </c>
      <c r="G188" s="5">
        <f>IFERROR('WEEKLY INPUT'!Q188,0)</f>
        <v/>
      </c>
      <c r="H188" s="5">
        <f>IFERROR('WEEKLY INPUT'!H188/'WEEKLY INPUT'!F188*90,0)</f>
        <v/>
      </c>
      <c r="I188" s="5">
        <f>IFERROR('WEEKLY INPUT'!I188/'WEEKLY INPUT'!F188*90,0)</f>
        <v/>
      </c>
      <c r="J188" s="5">
        <f>H188+I188</f>
        <v/>
      </c>
      <c r="K188" s="5">
        <f>IFERROR('WEEKLY INPUT'!J188/'WEEKLY INPUT'!F188*90,0)</f>
        <v/>
      </c>
      <c r="L188" s="5">
        <f>IFERROR('WEEKLY INPUT'!K188/'WEEKLY INPUT'!F188*90,0)</f>
        <v/>
      </c>
      <c r="M188" s="5">
        <f>IFERROR('WEEKLY INPUT'!L188/'WEEKLY INPUT'!F188*90,0)</f>
        <v/>
      </c>
      <c r="N188" s="5">
        <f>IFERROR('WEEKLY INPUT'!M188/'WEEKLY INPUT'!F188*90,0)</f>
        <v/>
      </c>
      <c r="O188" s="5">
        <f>IFERROR('WEEKLY INPUT'!N188/'WEEKLY INPUT'!F188*90,0)</f>
        <v/>
      </c>
      <c r="P188" s="5">
        <f>IFERROR('WEEKLY INPUT'!O188/'WEEKLY INPUT'!F188*90,0)</f>
        <v/>
      </c>
      <c r="Q188" s="5">
        <f>IFERROR(('WEEKLY INPUT'!J188*2+'WEEKLY INPUT'!K188*1+'WEEKLY INPUT'!O188*0.2)/'WEEKLY INPUT'!F188,0)</f>
        <v/>
      </c>
      <c r="R188" s="5">
        <f>MAX(0.25,MIN(1.15,(F188/540)*0.5+G188*0.5))</f>
        <v/>
      </c>
      <c r="S188" s="5">
        <f>MAX(0.70,MIN(1.10,0.85+0.15*G188))</f>
        <v/>
      </c>
      <c r="T188" s="5">
        <f>IF(A188="","",2*('WEEKLY INPUT'!P188/90)+(H188*5+I188*3)*('WEEKLY INPUT'!P188/90)+(P188*0.15)*('WEEKLY INPUT'!P188/90)+Q188*0.25)</f>
        <v/>
      </c>
      <c r="U188" s="5">
        <f>IF($A188="","",$T188*(1+($3-'WEEKLY INPUT'!R188)*0.10)*$R188*$S188*1.0)</f>
        <v/>
      </c>
      <c r="V188" s="5">
        <f>IF($A188="","",$T188*(1+($3-'WEEKLY INPUT'!S188)*0.10)*$R188*$S188*0.975)</f>
        <v/>
      </c>
      <c r="W188" s="5">
        <f>IF($A188="","",$T188*(1+($3-'WEEKLY INPUT'!T188)*0.10)*$R188*$S188*0.95)</f>
        <v/>
      </c>
      <c r="X188" s="5">
        <f>IF($A188="","",$T188*(1+($3-'WEEKLY INPUT'!U188)*0.10)*$R188*$S188*0.925)</f>
        <v/>
      </c>
      <c r="Y188" s="5">
        <f>IF($A188="","",$T188*(1+($3-'WEEKLY INPUT'!V188)*0.10)*$R188*$S188*0.9)</f>
        <v/>
      </c>
      <c r="Z188" s="5">
        <f>IF($A188="","",$T188*(1+($3-'WEEKLY INPUT'!W188)*0.10)*$R188*$S188*0.875)</f>
        <v/>
      </c>
      <c r="AA188" s="5">
        <f>IF($A188="","",$T188*(1+($3-'WEEKLY INPUT'!X188)*0.10)*$R188*$S188*0.85)</f>
        <v/>
      </c>
      <c r="AB188" s="5">
        <f>IF($A188="","",$T188*(1+($3-'WEEKLY INPUT'!Y188)*0.10)*$R188*$S188*0.825)</f>
        <v/>
      </c>
      <c r="AC188" s="5">
        <f>SUM(U188:AB188)</f>
        <v/>
      </c>
      <c r="AD188" s="5">
        <f>SUM(U188:Z188)</f>
        <v/>
      </c>
      <c r="AE188" s="5">
        <f>IFERROR(AD188/D188,0)</f>
        <v/>
      </c>
      <c r="AF188" s="5">
        <f>MAX(0,1-R188)</f>
        <v/>
      </c>
      <c r="AG188" s="5">
        <f>IFERROR((H188+I188)*R188*(1+0.10*(3-'WEEKLY INPUT'!R188)),"")</f>
        <v/>
      </c>
      <c r="AH188" s="5">
        <f>IFERROR(AG188/SUMPRODUCT($AG$6:$AG$205),"")</f>
        <v/>
      </c>
      <c r="AI188" s="5">
        <f>IFERROR(AD188*(1-AF188*0.5)*(1+0.15*AE188),0)</f>
        <v/>
      </c>
      <c r="AJ188" s="5">
        <f>IF(A188="","",RANK(AI188,$AI$6:$AI$205,0))</f>
        <v/>
      </c>
      <c r="AK188" s="5">
        <f>IFERROR('WEEKLY INPUT'!Z188,"")</f>
        <v/>
      </c>
    </row>
    <row r="189">
      <c r="A189" s="5">
        <f>IFERROR('WEEKLY INPUT'!A189,"")</f>
        <v/>
      </c>
      <c r="B189" s="5">
        <f>IFERROR('WEEKLY INPUT'!B189,"")</f>
        <v/>
      </c>
      <c r="C189" s="5">
        <f>IFERROR('WEEKLY INPUT'!C189,"")</f>
        <v/>
      </c>
      <c r="D189" s="5">
        <f>IFERROR('WEEKLY INPUT'!D189,0)</f>
        <v/>
      </c>
      <c r="E189" s="5">
        <f>IFERROR('WEEKLY INPUT'!E189,0)</f>
        <v/>
      </c>
      <c r="F189" s="5">
        <f>IFERROR('WEEKLY INPUT'!F189,0)</f>
        <v/>
      </c>
      <c r="G189" s="5">
        <f>IFERROR('WEEKLY INPUT'!Q189,0)</f>
        <v/>
      </c>
      <c r="H189" s="5">
        <f>IFERROR('WEEKLY INPUT'!H189/'WEEKLY INPUT'!F189*90,0)</f>
        <v/>
      </c>
      <c r="I189" s="5">
        <f>IFERROR('WEEKLY INPUT'!I189/'WEEKLY INPUT'!F189*90,0)</f>
        <v/>
      </c>
      <c r="J189" s="5">
        <f>H189+I189</f>
        <v/>
      </c>
      <c r="K189" s="5">
        <f>IFERROR('WEEKLY INPUT'!J189/'WEEKLY INPUT'!F189*90,0)</f>
        <v/>
      </c>
      <c r="L189" s="5">
        <f>IFERROR('WEEKLY INPUT'!K189/'WEEKLY INPUT'!F189*90,0)</f>
        <v/>
      </c>
      <c r="M189" s="5">
        <f>IFERROR('WEEKLY INPUT'!L189/'WEEKLY INPUT'!F189*90,0)</f>
        <v/>
      </c>
      <c r="N189" s="5">
        <f>IFERROR('WEEKLY INPUT'!M189/'WEEKLY INPUT'!F189*90,0)</f>
        <v/>
      </c>
      <c r="O189" s="5">
        <f>IFERROR('WEEKLY INPUT'!N189/'WEEKLY INPUT'!F189*90,0)</f>
        <v/>
      </c>
      <c r="P189" s="5">
        <f>IFERROR('WEEKLY INPUT'!O189/'WEEKLY INPUT'!F189*90,0)</f>
        <v/>
      </c>
      <c r="Q189" s="5">
        <f>IFERROR(('WEEKLY INPUT'!J189*2+'WEEKLY INPUT'!K189*1+'WEEKLY INPUT'!O189*0.2)/'WEEKLY INPUT'!F189,0)</f>
        <v/>
      </c>
      <c r="R189" s="5">
        <f>MAX(0.25,MIN(1.15,(F189/540)*0.5+G189*0.5))</f>
        <v/>
      </c>
      <c r="S189" s="5">
        <f>MAX(0.70,MIN(1.10,0.85+0.15*G189))</f>
        <v/>
      </c>
      <c r="T189" s="5">
        <f>IF(A189="","",2*('WEEKLY INPUT'!P189/90)+(H189*5+I189*3)*('WEEKLY INPUT'!P189/90)+(P189*0.15)*('WEEKLY INPUT'!P189/90)+Q189*0.25)</f>
        <v/>
      </c>
      <c r="U189" s="5">
        <f>IF($A189="","",$T189*(1+($3-'WEEKLY INPUT'!R189)*0.10)*$R189*$S189*1.0)</f>
        <v/>
      </c>
      <c r="V189" s="5">
        <f>IF($A189="","",$T189*(1+($3-'WEEKLY INPUT'!S189)*0.10)*$R189*$S189*0.975)</f>
        <v/>
      </c>
      <c r="W189" s="5">
        <f>IF($A189="","",$T189*(1+($3-'WEEKLY INPUT'!T189)*0.10)*$R189*$S189*0.95)</f>
        <v/>
      </c>
      <c r="X189" s="5">
        <f>IF($A189="","",$T189*(1+($3-'WEEKLY INPUT'!U189)*0.10)*$R189*$S189*0.925)</f>
        <v/>
      </c>
      <c r="Y189" s="5">
        <f>IF($A189="","",$T189*(1+($3-'WEEKLY INPUT'!V189)*0.10)*$R189*$S189*0.9)</f>
        <v/>
      </c>
      <c r="Z189" s="5">
        <f>IF($A189="","",$T189*(1+($3-'WEEKLY INPUT'!W189)*0.10)*$R189*$S189*0.875)</f>
        <v/>
      </c>
      <c r="AA189" s="5">
        <f>IF($A189="","",$T189*(1+($3-'WEEKLY INPUT'!X189)*0.10)*$R189*$S189*0.85)</f>
        <v/>
      </c>
      <c r="AB189" s="5">
        <f>IF($A189="","",$T189*(1+($3-'WEEKLY INPUT'!Y189)*0.10)*$R189*$S189*0.825)</f>
        <v/>
      </c>
      <c r="AC189" s="5">
        <f>SUM(U189:AB189)</f>
        <v/>
      </c>
      <c r="AD189" s="5">
        <f>SUM(U189:Z189)</f>
        <v/>
      </c>
      <c r="AE189" s="5">
        <f>IFERROR(AD189/D189,0)</f>
        <v/>
      </c>
      <c r="AF189" s="5">
        <f>MAX(0,1-R189)</f>
        <v/>
      </c>
      <c r="AG189" s="5">
        <f>IFERROR((H189+I189)*R189*(1+0.10*(3-'WEEKLY INPUT'!R189)),"")</f>
        <v/>
      </c>
      <c r="AH189" s="5">
        <f>IFERROR(AG189/SUMPRODUCT($AG$6:$AG$205),"")</f>
        <v/>
      </c>
      <c r="AI189" s="5">
        <f>IFERROR(AD189*(1-AF189*0.5)*(1+0.15*AE189),0)</f>
        <v/>
      </c>
      <c r="AJ189" s="5">
        <f>IF(A189="","",RANK(AI189,$AI$6:$AI$205,0))</f>
        <v/>
      </c>
      <c r="AK189" s="5">
        <f>IFERROR('WEEKLY INPUT'!Z189,"")</f>
        <v/>
      </c>
    </row>
    <row r="190">
      <c r="A190" s="5">
        <f>IFERROR('WEEKLY INPUT'!A190,"")</f>
        <v/>
      </c>
      <c r="B190" s="5">
        <f>IFERROR('WEEKLY INPUT'!B190,"")</f>
        <v/>
      </c>
      <c r="C190" s="5">
        <f>IFERROR('WEEKLY INPUT'!C190,"")</f>
        <v/>
      </c>
      <c r="D190" s="5">
        <f>IFERROR('WEEKLY INPUT'!D190,0)</f>
        <v/>
      </c>
      <c r="E190" s="5">
        <f>IFERROR('WEEKLY INPUT'!E190,0)</f>
        <v/>
      </c>
      <c r="F190" s="5">
        <f>IFERROR('WEEKLY INPUT'!F190,0)</f>
        <v/>
      </c>
      <c r="G190" s="5">
        <f>IFERROR('WEEKLY INPUT'!Q190,0)</f>
        <v/>
      </c>
      <c r="H190" s="5">
        <f>IFERROR('WEEKLY INPUT'!H190/'WEEKLY INPUT'!F190*90,0)</f>
        <v/>
      </c>
      <c r="I190" s="5">
        <f>IFERROR('WEEKLY INPUT'!I190/'WEEKLY INPUT'!F190*90,0)</f>
        <v/>
      </c>
      <c r="J190" s="5">
        <f>H190+I190</f>
        <v/>
      </c>
      <c r="K190" s="5">
        <f>IFERROR('WEEKLY INPUT'!J190/'WEEKLY INPUT'!F190*90,0)</f>
        <v/>
      </c>
      <c r="L190" s="5">
        <f>IFERROR('WEEKLY INPUT'!K190/'WEEKLY INPUT'!F190*90,0)</f>
        <v/>
      </c>
      <c r="M190" s="5">
        <f>IFERROR('WEEKLY INPUT'!L190/'WEEKLY INPUT'!F190*90,0)</f>
        <v/>
      </c>
      <c r="N190" s="5">
        <f>IFERROR('WEEKLY INPUT'!M190/'WEEKLY INPUT'!F190*90,0)</f>
        <v/>
      </c>
      <c r="O190" s="5">
        <f>IFERROR('WEEKLY INPUT'!N190/'WEEKLY INPUT'!F190*90,0)</f>
        <v/>
      </c>
      <c r="P190" s="5">
        <f>IFERROR('WEEKLY INPUT'!O190/'WEEKLY INPUT'!F190*90,0)</f>
        <v/>
      </c>
      <c r="Q190" s="5">
        <f>IFERROR(('WEEKLY INPUT'!J190*2+'WEEKLY INPUT'!K190*1+'WEEKLY INPUT'!O190*0.2)/'WEEKLY INPUT'!F190,0)</f>
        <v/>
      </c>
      <c r="R190" s="5">
        <f>MAX(0.25,MIN(1.15,(F190/540)*0.5+G190*0.5))</f>
        <v/>
      </c>
      <c r="S190" s="5">
        <f>MAX(0.70,MIN(1.10,0.85+0.15*G190))</f>
        <v/>
      </c>
      <c r="T190" s="5">
        <f>IF(A190="","",2*('WEEKLY INPUT'!P190/90)+(H190*5+I190*3)*('WEEKLY INPUT'!P190/90)+(P190*0.15)*('WEEKLY INPUT'!P190/90)+Q190*0.25)</f>
        <v/>
      </c>
      <c r="U190" s="5">
        <f>IF($A190="","",$T190*(1+($3-'WEEKLY INPUT'!R190)*0.10)*$R190*$S190*1.0)</f>
        <v/>
      </c>
      <c r="V190" s="5">
        <f>IF($A190="","",$T190*(1+($3-'WEEKLY INPUT'!S190)*0.10)*$R190*$S190*0.975)</f>
        <v/>
      </c>
      <c r="W190" s="5">
        <f>IF($A190="","",$T190*(1+($3-'WEEKLY INPUT'!T190)*0.10)*$R190*$S190*0.95)</f>
        <v/>
      </c>
      <c r="X190" s="5">
        <f>IF($A190="","",$T190*(1+($3-'WEEKLY INPUT'!U190)*0.10)*$R190*$S190*0.925)</f>
        <v/>
      </c>
      <c r="Y190" s="5">
        <f>IF($A190="","",$T190*(1+($3-'WEEKLY INPUT'!V190)*0.10)*$R190*$S190*0.9)</f>
        <v/>
      </c>
      <c r="Z190" s="5">
        <f>IF($A190="","",$T190*(1+($3-'WEEKLY INPUT'!W190)*0.10)*$R190*$S190*0.875)</f>
        <v/>
      </c>
      <c r="AA190" s="5">
        <f>IF($A190="","",$T190*(1+($3-'WEEKLY INPUT'!X190)*0.10)*$R190*$S190*0.85)</f>
        <v/>
      </c>
      <c r="AB190" s="5">
        <f>IF($A190="","",$T190*(1+($3-'WEEKLY INPUT'!Y190)*0.10)*$R190*$S190*0.825)</f>
        <v/>
      </c>
      <c r="AC190" s="5">
        <f>SUM(U190:AB190)</f>
        <v/>
      </c>
      <c r="AD190" s="5">
        <f>SUM(U190:Z190)</f>
        <v/>
      </c>
      <c r="AE190" s="5">
        <f>IFERROR(AD190/D190,0)</f>
        <v/>
      </c>
      <c r="AF190" s="5">
        <f>MAX(0,1-R190)</f>
        <v/>
      </c>
      <c r="AG190" s="5">
        <f>IFERROR((H190+I190)*R190*(1+0.10*(3-'WEEKLY INPUT'!R190)),"")</f>
        <v/>
      </c>
      <c r="AH190" s="5">
        <f>IFERROR(AG190/SUMPRODUCT($AG$6:$AG$205),"")</f>
        <v/>
      </c>
      <c r="AI190" s="5">
        <f>IFERROR(AD190*(1-AF190*0.5)*(1+0.15*AE190),0)</f>
        <v/>
      </c>
      <c r="AJ190" s="5">
        <f>IF(A190="","",RANK(AI190,$AI$6:$AI$205,0))</f>
        <v/>
      </c>
      <c r="AK190" s="5">
        <f>IFERROR('WEEKLY INPUT'!Z190,"")</f>
        <v/>
      </c>
    </row>
    <row r="191">
      <c r="A191" s="5">
        <f>IFERROR('WEEKLY INPUT'!A191,"")</f>
        <v/>
      </c>
      <c r="B191" s="5">
        <f>IFERROR('WEEKLY INPUT'!B191,"")</f>
        <v/>
      </c>
      <c r="C191" s="5">
        <f>IFERROR('WEEKLY INPUT'!C191,"")</f>
        <v/>
      </c>
      <c r="D191" s="5">
        <f>IFERROR('WEEKLY INPUT'!D191,0)</f>
        <v/>
      </c>
      <c r="E191" s="5">
        <f>IFERROR('WEEKLY INPUT'!E191,0)</f>
        <v/>
      </c>
      <c r="F191" s="5">
        <f>IFERROR('WEEKLY INPUT'!F191,0)</f>
        <v/>
      </c>
      <c r="G191" s="5">
        <f>IFERROR('WEEKLY INPUT'!Q191,0)</f>
        <v/>
      </c>
      <c r="H191" s="5">
        <f>IFERROR('WEEKLY INPUT'!H191/'WEEKLY INPUT'!F191*90,0)</f>
        <v/>
      </c>
      <c r="I191" s="5">
        <f>IFERROR('WEEKLY INPUT'!I191/'WEEKLY INPUT'!F191*90,0)</f>
        <v/>
      </c>
      <c r="J191" s="5">
        <f>H191+I191</f>
        <v/>
      </c>
      <c r="K191" s="5">
        <f>IFERROR('WEEKLY INPUT'!J191/'WEEKLY INPUT'!F191*90,0)</f>
        <v/>
      </c>
      <c r="L191" s="5">
        <f>IFERROR('WEEKLY INPUT'!K191/'WEEKLY INPUT'!F191*90,0)</f>
        <v/>
      </c>
      <c r="M191" s="5">
        <f>IFERROR('WEEKLY INPUT'!L191/'WEEKLY INPUT'!F191*90,0)</f>
        <v/>
      </c>
      <c r="N191" s="5">
        <f>IFERROR('WEEKLY INPUT'!M191/'WEEKLY INPUT'!F191*90,0)</f>
        <v/>
      </c>
      <c r="O191" s="5">
        <f>IFERROR('WEEKLY INPUT'!N191/'WEEKLY INPUT'!F191*90,0)</f>
        <v/>
      </c>
      <c r="P191" s="5">
        <f>IFERROR('WEEKLY INPUT'!O191/'WEEKLY INPUT'!F191*90,0)</f>
        <v/>
      </c>
      <c r="Q191" s="5">
        <f>IFERROR(('WEEKLY INPUT'!J191*2+'WEEKLY INPUT'!K191*1+'WEEKLY INPUT'!O191*0.2)/'WEEKLY INPUT'!F191,0)</f>
        <v/>
      </c>
      <c r="R191" s="5">
        <f>MAX(0.25,MIN(1.15,(F191/540)*0.5+G191*0.5))</f>
        <v/>
      </c>
      <c r="S191" s="5">
        <f>MAX(0.70,MIN(1.10,0.85+0.15*G191))</f>
        <v/>
      </c>
      <c r="T191" s="5">
        <f>IF(A191="","",2*('WEEKLY INPUT'!P191/90)+(H191*5+I191*3)*('WEEKLY INPUT'!P191/90)+(P191*0.15)*('WEEKLY INPUT'!P191/90)+Q191*0.25)</f>
        <v/>
      </c>
      <c r="U191" s="5">
        <f>IF($A191="","",$T191*(1+($3-'WEEKLY INPUT'!R191)*0.10)*$R191*$S191*1.0)</f>
        <v/>
      </c>
      <c r="V191" s="5">
        <f>IF($A191="","",$T191*(1+($3-'WEEKLY INPUT'!S191)*0.10)*$R191*$S191*0.975)</f>
        <v/>
      </c>
      <c r="W191" s="5">
        <f>IF($A191="","",$T191*(1+($3-'WEEKLY INPUT'!T191)*0.10)*$R191*$S191*0.95)</f>
        <v/>
      </c>
      <c r="X191" s="5">
        <f>IF($A191="","",$T191*(1+($3-'WEEKLY INPUT'!U191)*0.10)*$R191*$S191*0.925)</f>
        <v/>
      </c>
      <c r="Y191" s="5">
        <f>IF($A191="","",$T191*(1+($3-'WEEKLY INPUT'!V191)*0.10)*$R191*$S191*0.9)</f>
        <v/>
      </c>
      <c r="Z191" s="5">
        <f>IF($A191="","",$T191*(1+($3-'WEEKLY INPUT'!W191)*0.10)*$R191*$S191*0.875)</f>
        <v/>
      </c>
      <c r="AA191" s="5">
        <f>IF($A191="","",$T191*(1+($3-'WEEKLY INPUT'!X191)*0.10)*$R191*$S191*0.85)</f>
        <v/>
      </c>
      <c r="AB191" s="5">
        <f>IF($A191="","",$T191*(1+($3-'WEEKLY INPUT'!Y191)*0.10)*$R191*$S191*0.825)</f>
        <v/>
      </c>
      <c r="AC191" s="5">
        <f>SUM(U191:AB191)</f>
        <v/>
      </c>
      <c r="AD191" s="5">
        <f>SUM(U191:Z191)</f>
        <v/>
      </c>
      <c r="AE191" s="5">
        <f>IFERROR(AD191/D191,0)</f>
        <v/>
      </c>
      <c r="AF191" s="5">
        <f>MAX(0,1-R191)</f>
        <v/>
      </c>
      <c r="AG191" s="5">
        <f>IFERROR((H191+I191)*R191*(1+0.10*(3-'WEEKLY INPUT'!R191)),"")</f>
        <v/>
      </c>
      <c r="AH191" s="5">
        <f>IFERROR(AG191/SUMPRODUCT($AG$6:$AG$205),"")</f>
        <v/>
      </c>
      <c r="AI191" s="5">
        <f>IFERROR(AD191*(1-AF191*0.5)*(1+0.15*AE191),0)</f>
        <v/>
      </c>
      <c r="AJ191" s="5">
        <f>IF(A191="","",RANK(AI191,$AI$6:$AI$205,0))</f>
        <v/>
      </c>
      <c r="AK191" s="5">
        <f>IFERROR('WEEKLY INPUT'!Z191,"")</f>
        <v/>
      </c>
    </row>
    <row r="192">
      <c r="A192" s="5">
        <f>IFERROR('WEEKLY INPUT'!A192,"")</f>
        <v/>
      </c>
      <c r="B192" s="5">
        <f>IFERROR('WEEKLY INPUT'!B192,"")</f>
        <v/>
      </c>
      <c r="C192" s="5">
        <f>IFERROR('WEEKLY INPUT'!C192,"")</f>
        <v/>
      </c>
      <c r="D192" s="5">
        <f>IFERROR('WEEKLY INPUT'!D192,0)</f>
        <v/>
      </c>
      <c r="E192" s="5">
        <f>IFERROR('WEEKLY INPUT'!E192,0)</f>
        <v/>
      </c>
      <c r="F192" s="5">
        <f>IFERROR('WEEKLY INPUT'!F192,0)</f>
        <v/>
      </c>
      <c r="G192" s="5">
        <f>IFERROR('WEEKLY INPUT'!Q192,0)</f>
        <v/>
      </c>
      <c r="H192" s="5">
        <f>IFERROR('WEEKLY INPUT'!H192/'WEEKLY INPUT'!F192*90,0)</f>
        <v/>
      </c>
      <c r="I192" s="5">
        <f>IFERROR('WEEKLY INPUT'!I192/'WEEKLY INPUT'!F192*90,0)</f>
        <v/>
      </c>
      <c r="J192" s="5">
        <f>H192+I192</f>
        <v/>
      </c>
      <c r="K192" s="5">
        <f>IFERROR('WEEKLY INPUT'!J192/'WEEKLY INPUT'!F192*90,0)</f>
        <v/>
      </c>
      <c r="L192" s="5">
        <f>IFERROR('WEEKLY INPUT'!K192/'WEEKLY INPUT'!F192*90,0)</f>
        <v/>
      </c>
      <c r="M192" s="5">
        <f>IFERROR('WEEKLY INPUT'!L192/'WEEKLY INPUT'!F192*90,0)</f>
        <v/>
      </c>
      <c r="N192" s="5">
        <f>IFERROR('WEEKLY INPUT'!M192/'WEEKLY INPUT'!F192*90,0)</f>
        <v/>
      </c>
      <c r="O192" s="5">
        <f>IFERROR('WEEKLY INPUT'!N192/'WEEKLY INPUT'!F192*90,0)</f>
        <v/>
      </c>
      <c r="P192" s="5">
        <f>IFERROR('WEEKLY INPUT'!O192/'WEEKLY INPUT'!F192*90,0)</f>
        <v/>
      </c>
      <c r="Q192" s="5">
        <f>IFERROR(('WEEKLY INPUT'!J192*2+'WEEKLY INPUT'!K192*1+'WEEKLY INPUT'!O192*0.2)/'WEEKLY INPUT'!F192,0)</f>
        <v/>
      </c>
      <c r="R192" s="5">
        <f>MAX(0.25,MIN(1.15,(F192/540)*0.5+G192*0.5))</f>
        <v/>
      </c>
      <c r="S192" s="5">
        <f>MAX(0.70,MIN(1.10,0.85+0.15*G192))</f>
        <v/>
      </c>
      <c r="T192" s="5">
        <f>IF(A192="","",2*('WEEKLY INPUT'!P192/90)+(H192*5+I192*3)*('WEEKLY INPUT'!P192/90)+(P192*0.15)*('WEEKLY INPUT'!P192/90)+Q192*0.25)</f>
        <v/>
      </c>
      <c r="U192" s="5">
        <f>IF($A192="","",$T192*(1+($3-'WEEKLY INPUT'!R192)*0.10)*$R192*$S192*1.0)</f>
        <v/>
      </c>
      <c r="V192" s="5">
        <f>IF($A192="","",$T192*(1+($3-'WEEKLY INPUT'!S192)*0.10)*$R192*$S192*0.975)</f>
        <v/>
      </c>
      <c r="W192" s="5">
        <f>IF($A192="","",$T192*(1+($3-'WEEKLY INPUT'!T192)*0.10)*$R192*$S192*0.95)</f>
        <v/>
      </c>
      <c r="X192" s="5">
        <f>IF($A192="","",$T192*(1+($3-'WEEKLY INPUT'!U192)*0.10)*$R192*$S192*0.925)</f>
        <v/>
      </c>
      <c r="Y192" s="5">
        <f>IF($A192="","",$T192*(1+($3-'WEEKLY INPUT'!V192)*0.10)*$R192*$S192*0.9)</f>
        <v/>
      </c>
      <c r="Z192" s="5">
        <f>IF($A192="","",$T192*(1+($3-'WEEKLY INPUT'!W192)*0.10)*$R192*$S192*0.875)</f>
        <v/>
      </c>
      <c r="AA192" s="5">
        <f>IF($A192="","",$T192*(1+($3-'WEEKLY INPUT'!X192)*0.10)*$R192*$S192*0.85)</f>
        <v/>
      </c>
      <c r="AB192" s="5">
        <f>IF($A192="","",$T192*(1+($3-'WEEKLY INPUT'!Y192)*0.10)*$R192*$S192*0.825)</f>
        <v/>
      </c>
      <c r="AC192" s="5">
        <f>SUM(U192:AB192)</f>
        <v/>
      </c>
      <c r="AD192" s="5">
        <f>SUM(U192:Z192)</f>
        <v/>
      </c>
      <c r="AE192" s="5">
        <f>IFERROR(AD192/D192,0)</f>
        <v/>
      </c>
      <c r="AF192" s="5">
        <f>MAX(0,1-R192)</f>
        <v/>
      </c>
      <c r="AG192" s="5">
        <f>IFERROR((H192+I192)*R192*(1+0.10*(3-'WEEKLY INPUT'!R192)),"")</f>
        <v/>
      </c>
      <c r="AH192" s="5">
        <f>IFERROR(AG192/SUMPRODUCT($AG$6:$AG$205),"")</f>
        <v/>
      </c>
      <c r="AI192" s="5">
        <f>IFERROR(AD192*(1-AF192*0.5)*(1+0.15*AE192),0)</f>
        <v/>
      </c>
      <c r="AJ192" s="5">
        <f>IF(A192="","",RANK(AI192,$AI$6:$AI$205,0))</f>
        <v/>
      </c>
      <c r="AK192" s="5">
        <f>IFERROR('WEEKLY INPUT'!Z192,"")</f>
        <v/>
      </c>
    </row>
    <row r="193">
      <c r="A193" s="5">
        <f>IFERROR('WEEKLY INPUT'!A193,"")</f>
        <v/>
      </c>
      <c r="B193" s="5">
        <f>IFERROR('WEEKLY INPUT'!B193,"")</f>
        <v/>
      </c>
      <c r="C193" s="5">
        <f>IFERROR('WEEKLY INPUT'!C193,"")</f>
        <v/>
      </c>
      <c r="D193" s="5">
        <f>IFERROR('WEEKLY INPUT'!D193,0)</f>
        <v/>
      </c>
      <c r="E193" s="5">
        <f>IFERROR('WEEKLY INPUT'!E193,0)</f>
        <v/>
      </c>
      <c r="F193" s="5">
        <f>IFERROR('WEEKLY INPUT'!F193,0)</f>
        <v/>
      </c>
      <c r="G193" s="5">
        <f>IFERROR('WEEKLY INPUT'!Q193,0)</f>
        <v/>
      </c>
      <c r="H193" s="5">
        <f>IFERROR('WEEKLY INPUT'!H193/'WEEKLY INPUT'!F193*90,0)</f>
        <v/>
      </c>
      <c r="I193" s="5">
        <f>IFERROR('WEEKLY INPUT'!I193/'WEEKLY INPUT'!F193*90,0)</f>
        <v/>
      </c>
      <c r="J193" s="5">
        <f>H193+I193</f>
        <v/>
      </c>
      <c r="K193" s="5">
        <f>IFERROR('WEEKLY INPUT'!J193/'WEEKLY INPUT'!F193*90,0)</f>
        <v/>
      </c>
      <c r="L193" s="5">
        <f>IFERROR('WEEKLY INPUT'!K193/'WEEKLY INPUT'!F193*90,0)</f>
        <v/>
      </c>
      <c r="M193" s="5">
        <f>IFERROR('WEEKLY INPUT'!L193/'WEEKLY INPUT'!F193*90,0)</f>
        <v/>
      </c>
      <c r="N193" s="5">
        <f>IFERROR('WEEKLY INPUT'!M193/'WEEKLY INPUT'!F193*90,0)</f>
        <v/>
      </c>
      <c r="O193" s="5">
        <f>IFERROR('WEEKLY INPUT'!N193/'WEEKLY INPUT'!F193*90,0)</f>
        <v/>
      </c>
      <c r="P193" s="5">
        <f>IFERROR('WEEKLY INPUT'!O193/'WEEKLY INPUT'!F193*90,0)</f>
        <v/>
      </c>
      <c r="Q193" s="5">
        <f>IFERROR(('WEEKLY INPUT'!J193*2+'WEEKLY INPUT'!K193*1+'WEEKLY INPUT'!O193*0.2)/'WEEKLY INPUT'!F193,0)</f>
        <v/>
      </c>
      <c r="R193" s="5">
        <f>MAX(0.25,MIN(1.15,(F193/540)*0.5+G193*0.5))</f>
        <v/>
      </c>
      <c r="S193" s="5">
        <f>MAX(0.70,MIN(1.10,0.85+0.15*G193))</f>
        <v/>
      </c>
      <c r="T193" s="5">
        <f>IF(A193="","",2*('WEEKLY INPUT'!P193/90)+(H193*5+I193*3)*('WEEKLY INPUT'!P193/90)+(P193*0.15)*('WEEKLY INPUT'!P193/90)+Q193*0.25)</f>
        <v/>
      </c>
      <c r="U193" s="5">
        <f>IF($A193="","",$T193*(1+($3-'WEEKLY INPUT'!R193)*0.10)*$R193*$S193*1.0)</f>
        <v/>
      </c>
      <c r="V193" s="5">
        <f>IF($A193="","",$T193*(1+($3-'WEEKLY INPUT'!S193)*0.10)*$R193*$S193*0.975)</f>
        <v/>
      </c>
      <c r="W193" s="5">
        <f>IF($A193="","",$T193*(1+($3-'WEEKLY INPUT'!T193)*0.10)*$R193*$S193*0.95)</f>
        <v/>
      </c>
      <c r="X193" s="5">
        <f>IF($A193="","",$T193*(1+($3-'WEEKLY INPUT'!U193)*0.10)*$R193*$S193*0.925)</f>
        <v/>
      </c>
      <c r="Y193" s="5">
        <f>IF($A193="","",$T193*(1+($3-'WEEKLY INPUT'!V193)*0.10)*$R193*$S193*0.9)</f>
        <v/>
      </c>
      <c r="Z193" s="5">
        <f>IF($A193="","",$T193*(1+($3-'WEEKLY INPUT'!W193)*0.10)*$R193*$S193*0.875)</f>
        <v/>
      </c>
      <c r="AA193" s="5">
        <f>IF($A193="","",$T193*(1+($3-'WEEKLY INPUT'!X193)*0.10)*$R193*$S193*0.85)</f>
        <v/>
      </c>
      <c r="AB193" s="5">
        <f>IF($A193="","",$T193*(1+($3-'WEEKLY INPUT'!Y193)*0.10)*$R193*$S193*0.825)</f>
        <v/>
      </c>
      <c r="AC193" s="5">
        <f>SUM(U193:AB193)</f>
        <v/>
      </c>
      <c r="AD193" s="5">
        <f>SUM(U193:Z193)</f>
        <v/>
      </c>
      <c r="AE193" s="5">
        <f>IFERROR(AD193/D193,0)</f>
        <v/>
      </c>
      <c r="AF193" s="5">
        <f>MAX(0,1-R193)</f>
        <v/>
      </c>
      <c r="AG193" s="5">
        <f>IFERROR((H193+I193)*R193*(1+0.10*(3-'WEEKLY INPUT'!R193)),"")</f>
        <v/>
      </c>
      <c r="AH193" s="5">
        <f>IFERROR(AG193/SUMPRODUCT($AG$6:$AG$205),"")</f>
        <v/>
      </c>
      <c r="AI193" s="5">
        <f>IFERROR(AD193*(1-AF193*0.5)*(1+0.15*AE193),0)</f>
        <v/>
      </c>
      <c r="AJ193" s="5">
        <f>IF(A193="","",RANK(AI193,$AI$6:$AI$205,0))</f>
        <v/>
      </c>
      <c r="AK193" s="5">
        <f>IFERROR('WEEKLY INPUT'!Z193,"")</f>
        <v/>
      </c>
    </row>
    <row r="194">
      <c r="A194" s="5">
        <f>IFERROR('WEEKLY INPUT'!A194,"")</f>
        <v/>
      </c>
      <c r="B194" s="5">
        <f>IFERROR('WEEKLY INPUT'!B194,"")</f>
        <v/>
      </c>
      <c r="C194" s="5">
        <f>IFERROR('WEEKLY INPUT'!C194,"")</f>
        <v/>
      </c>
      <c r="D194" s="5">
        <f>IFERROR('WEEKLY INPUT'!D194,0)</f>
        <v/>
      </c>
      <c r="E194" s="5">
        <f>IFERROR('WEEKLY INPUT'!E194,0)</f>
        <v/>
      </c>
      <c r="F194" s="5">
        <f>IFERROR('WEEKLY INPUT'!F194,0)</f>
        <v/>
      </c>
      <c r="G194" s="5">
        <f>IFERROR('WEEKLY INPUT'!Q194,0)</f>
        <v/>
      </c>
      <c r="H194" s="5">
        <f>IFERROR('WEEKLY INPUT'!H194/'WEEKLY INPUT'!F194*90,0)</f>
        <v/>
      </c>
      <c r="I194" s="5">
        <f>IFERROR('WEEKLY INPUT'!I194/'WEEKLY INPUT'!F194*90,0)</f>
        <v/>
      </c>
      <c r="J194" s="5">
        <f>H194+I194</f>
        <v/>
      </c>
      <c r="K194" s="5">
        <f>IFERROR('WEEKLY INPUT'!J194/'WEEKLY INPUT'!F194*90,0)</f>
        <v/>
      </c>
      <c r="L194" s="5">
        <f>IFERROR('WEEKLY INPUT'!K194/'WEEKLY INPUT'!F194*90,0)</f>
        <v/>
      </c>
      <c r="M194" s="5">
        <f>IFERROR('WEEKLY INPUT'!L194/'WEEKLY INPUT'!F194*90,0)</f>
        <v/>
      </c>
      <c r="N194" s="5">
        <f>IFERROR('WEEKLY INPUT'!M194/'WEEKLY INPUT'!F194*90,0)</f>
        <v/>
      </c>
      <c r="O194" s="5">
        <f>IFERROR('WEEKLY INPUT'!N194/'WEEKLY INPUT'!F194*90,0)</f>
        <v/>
      </c>
      <c r="P194" s="5">
        <f>IFERROR('WEEKLY INPUT'!O194/'WEEKLY INPUT'!F194*90,0)</f>
        <v/>
      </c>
      <c r="Q194" s="5">
        <f>IFERROR(('WEEKLY INPUT'!J194*2+'WEEKLY INPUT'!K194*1+'WEEKLY INPUT'!O194*0.2)/'WEEKLY INPUT'!F194,0)</f>
        <v/>
      </c>
      <c r="R194" s="5">
        <f>MAX(0.25,MIN(1.15,(F194/540)*0.5+G194*0.5))</f>
        <v/>
      </c>
      <c r="S194" s="5">
        <f>MAX(0.70,MIN(1.10,0.85+0.15*G194))</f>
        <v/>
      </c>
      <c r="T194" s="5">
        <f>IF(A194="","",2*('WEEKLY INPUT'!P194/90)+(H194*5+I194*3)*('WEEKLY INPUT'!P194/90)+(P194*0.15)*('WEEKLY INPUT'!P194/90)+Q194*0.25)</f>
        <v/>
      </c>
      <c r="U194" s="5">
        <f>IF($A194="","",$T194*(1+($3-'WEEKLY INPUT'!R194)*0.10)*$R194*$S194*1.0)</f>
        <v/>
      </c>
      <c r="V194" s="5">
        <f>IF($A194="","",$T194*(1+($3-'WEEKLY INPUT'!S194)*0.10)*$R194*$S194*0.975)</f>
        <v/>
      </c>
      <c r="W194" s="5">
        <f>IF($A194="","",$T194*(1+($3-'WEEKLY INPUT'!T194)*0.10)*$R194*$S194*0.95)</f>
        <v/>
      </c>
      <c r="X194" s="5">
        <f>IF($A194="","",$T194*(1+($3-'WEEKLY INPUT'!U194)*0.10)*$R194*$S194*0.925)</f>
        <v/>
      </c>
      <c r="Y194" s="5">
        <f>IF($A194="","",$T194*(1+($3-'WEEKLY INPUT'!V194)*0.10)*$R194*$S194*0.9)</f>
        <v/>
      </c>
      <c r="Z194" s="5">
        <f>IF($A194="","",$T194*(1+($3-'WEEKLY INPUT'!W194)*0.10)*$R194*$S194*0.875)</f>
        <v/>
      </c>
      <c r="AA194" s="5">
        <f>IF($A194="","",$T194*(1+($3-'WEEKLY INPUT'!X194)*0.10)*$R194*$S194*0.85)</f>
        <v/>
      </c>
      <c r="AB194" s="5">
        <f>IF($A194="","",$T194*(1+($3-'WEEKLY INPUT'!Y194)*0.10)*$R194*$S194*0.825)</f>
        <v/>
      </c>
      <c r="AC194" s="5">
        <f>SUM(U194:AB194)</f>
        <v/>
      </c>
      <c r="AD194" s="5">
        <f>SUM(U194:Z194)</f>
        <v/>
      </c>
      <c r="AE194" s="5">
        <f>IFERROR(AD194/D194,0)</f>
        <v/>
      </c>
      <c r="AF194" s="5">
        <f>MAX(0,1-R194)</f>
        <v/>
      </c>
      <c r="AG194" s="5">
        <f>IFERROR((H194+I194)*R194*(1+0.10*(3-'WEEKLY INPUT'!R194)),"")</f>
        <v/>
      </c>
      <c r="AH194" s="5">
        <f>IFERROR(AG194/SUMPRODUCT($AG$6:$AG$205),"")</f>
        <v/>
      </c>
      <c r="AI194" s="5">
        <f>IFERROR(AD194*(1-AF194*0.5)*(1+0.15*AE194),0)</f>
        <v/>
      </c>
      <c r="AJ194" s="5">
        <f>IF(A194="","",RANK(AI194,$AI$6:$AI$205,0))</f>
        <v/>
      </c>
      <c r="AK194" s="5">
        <f>IFERROR('WEEKLY INPUT'!Z194,"")</f>
        <v/>
      </c>
    </row>
    <row r="195">
      <c r="A195" s="5">
        <f>IFERROR('WEEKLY INPUT'!A195,"")</f>
        <v/>
      </c>
      <c r="B195" s="5">
        <f>IFERROR('WEEKLY INPUT'!B195,"")</f>
        <v/>
      </c>
      <c r="C195" s="5">
        <f>IFERROR('WEEKLY INPUT'!C195,"")</f>
        <v/>
      </c>
      <c r="D195" s="5">
        <f>IFERROR('WEEKLY INPUT'!D195,0)</f>
        <v/>
      </c>
      <c r="E195" s="5">
        <f>IFERROR('WEEKLY INPUT'!E195,0)</f>
        <v/>
      </c>
      <c r="F195" s="5">
        <f>IFERROR('WEEKLY INPUT'!F195,0)</f>
        <v/>
      </c>
      <c r="G195" s="5">
        <f>IFERROR('WEEKLY INPUT'!Q195,0)</f>
        <v/>
      </c>
      <c r="H195" s="5">
        <f>IFERROR('WEEKLY INPUT'!H195/'WEEKLY INPUT'!F195*90,0)</f>
        <v/>
      </c>
      <c r="I195" s="5">
        <f>IFERROR('WEEKLY INPUT'!I195/'WEEKLY INPUT'!F195*90,0)</f>
        <v/>
      </c>
      <c r="J195" s="5">
        <f>H195+I195</f>
        <v/>
      </c>
      <c r="K195" s="5">
        <f>IFERROR('WEEKLY INPUT'!J195/'WEEKLY INPUT'!F195*90,0)</f>
        <v/>
      </c>
      <c r="L195" s="5">
        <f>IFERROR('WEEKLY INPUT'!K195/'WEEKLY INPUT'!F195*90,0)</f>
        <v/>
      </c>
      <c r="M195" s="5">
        <f>IFERROR('WEEKLY INPUT'!L195/'WEEKLY INPUT'!F195*90,0)</f>
        <v/>
      </c>
      <c r="N195" s="5">
        <f>IFERROR('WEEKLY INPUT'!M195/'WEEKLY INPUT'!F195*90,0)</f>
        <v/>
      </c>
      <c r="O195" s="5">
        <f>IFERROR('WEEKLY INPUT'!N195/'WEEKLY INPUT'!F195*90,0)</f>
        <v/>
      </c>
      <c r="P195" s="5">
        <f>IFERROR('WEEKLY INPUT'!O195/'WEEKLY INPUT'!F195*90,0)</f>
        <v/>
      </c>
      <c r="Q195" s="5">
        <f>IFERROR(('WEEKLY INPUT'!J195*2+'WEEKLY INPUT'!K195*1+'WEEKLY INPUT'!O195*0.2)/'WEEKLY INPUT'!F195,0)</f>
        <v/>
      </c>
      <c r="R195" s="5">
        <f>MAX(0.25,MIN(1.15,(F195/540)*0.5+G195*0.5))</f>
        <v/>
      </c>
      <c r="S195" s="5">
        <f>MAX(0.70,MIN(1.10,0.85+0.15*G195))</f>
        <v/>
      </c>
      <c r="T195" s="5">
        <f>IF(A195="","",2*('WEEKLY INPUT'!P195/90)+(H195*5+I195*3)*('WEEKLY INPUT'!P195/90)+(P195*0.15)*('WEEKLY INPUT'!P195/90)+Q195*0.25)</f>
        <v/>
      </c>
      <c r="U195" s="5">
        <f>IF($A195="","",$T195*(1+($3-'WEEKLY INPUT'!R195)*0.10)*$R195*$S195*1.0)</f>
        <v/>
      </c>
      <c r="V195" s="5">
        <f>IF($A195="","",$T195*(1+($3-'WEEKLY INPUT'!S195)*0.10)*$R195*$S195*0.975)</f>
        <v/>
      </c>
      <c r="W195" s="5">
        <f>IF($A195="","",$T195*(1+($3-'WEEKLY INPUT'!T195)*0.10)*$R195*$S195*0.95)</f>
        <v/>
      </c>
      <c r="X195" s="5">
        <f>IF($A195="","",$T195*(1+($3-'WEEKLY INPUT'!U195)*0.10)*$R195*$S195*0.925)</f>
        <v/>
      </c>
      <c r="Y195" s="5">
        <f>IF($A195="","",$T195*(1+($3-'WEEKLY INPUT'!V195)*0.10)*$R195*$S195*0.9)</f>
        <v/>
      </c>
      <c r="Z195" s="5">
        <f>IF($A195="","",$T195*(1+($3-'WEEKLY INPUT'!W195)*0.10)*$R195*$S195*0.875)</f>
        <v/>
      </c>
      <c r="AA195" s="5">
        <f>IF($A195="","",$T195*(1+($3-'WEEKLY INPUT'!X195)*0.10)*$R195*$S195*0.85)</f>
        <v/>
      </c>
      <c r="AB195" s="5">
        <f>IF($A195="","",$T195*(1+($3-'WEEKLY INPUT'!Y195)*0.10)*$R195*$S195*0.825)</f>
        <v/>
      </c>
      <c r="AC195" s="5">
        <f>SUM(U195:AB195)</f>
        <v/>
      </c>
      <c r="AD195" s="5">
        <f>SUM(U195:Z195)</f>
        <v/>
      </c>
      <c r="AE195" s="5">
        <f>IFERROR(AD195/D195,0)</f>
        <v/>
      </c>
      <c r="AF195" s="5">
        <f>MAX(0,1-R195)</f>
        <v/>
      </c>
      <c r="AG195" s="5">
        <f>IFERROR((H195+I195)*R195*(1+0.10*(3-'WEEKLY INPUT'!R195)),"")</f>
        <v/>
      </c>
      <c r="AH195" s="5">
        <f>IFERROR(AG195/SUMPRODUCT($AG$6:$AG$205),"")</f>
        <v/>
      </c>
      <c r="AI195" s="5">
        <f>IFERROR(AD195*(1-AF195*0.5)*(1+0.15*AE195),0)</f>
        <v/>
      </c>
      <c r="AJ195" s="5">
        <f>IF(A195="","",RANK(AI195,$AI$6:$AI$205,0))</f>
        <v/>
      </c>
      <c r="AK195" s="5">
        <f>IFERROR('WEEKLY INPUT'!Z195,"")</f>
        <v/>
      </c>
    </row>
    <row r="196">
      <c r="A196" s="5">
        <f>IFERROR('WEEKLY INPUT'!A196,"")</f>
        <v/>
      </c>
      <c r="B196" s="5">
        <f>IFERROR('WEEKLY INPUT'!B196,"")</f>
        <v/>
      </c>
      <c r="C196" s="5">
        <f>IFERROR('WEEKLY INPUT'!C196,"")</f>
        <v/>
      </c>
      <c r="D196" s="5">
        <f>IFERROR('WEEKLY INPUT'!D196,0)</f>
        <v/>
      </c>
      <c r="E196" s="5">
        <f>IFERROR('WEEKLY INPUT'!E196,0)</f>
        <v/>
      </c>
      <c r="F196" s="5">
        <f>IFERROR('WEEKLY INPUT'!F196,0)</f>
        <v/>
      </c>
      <c r="G196" s="5">
        <f>IFERROR('WEEKLY INPUT'!Q196,0)</f>
        <v/>
      </c>
      <c r="H196" s="5">
        <f>IFERROR('WEEKLY INPUT'!H196/'WEEKLY INPUT'!F196*90,0)</f>
        <v/>
      </c>
      <c r="I196" s="5">
        <f>IFERROR('WEEKLY INPUT'!I196/'WEEKLY INPUT'!F196*90,0)</f>
        <v/>
      </c>
      <c r="J196" s="5">
        <f>H196+I196</f>
        <v/>
      </c>
      <c r="K196" s="5">
        <f>IFERROR('WEEKLY INPUT'!J196/'WEEKLY INPUT'!F196*90,0)</f>
        <v/>
      </c>
      <c r="L196" s="5">
        <f>IFERROR('WEEKLY INPUT'!K196/'WEEKLY INPUT'!F196*90,0)</f>
        <v/>
      </c>
      <c r="M196" s="5">
        <f>IFERROR('WEEKLY INPUT'!L196/'WEEKLY INPUT'!F196*90,0)</f>
        <v/>
      </c>
      <c r="N196" s="5">
        <f>IFERROR('WEEKLY INPUT'!M196/'WEEKLY INPUT'!F196*90,0)</f>
        <v/>
      </c>
      <c r="O196" s="5">
        <f>IFERROR('WEEKLY INPUT'!N196/'WEEKLY INPUT'!F196*90,0)</f>
        <v/>
      </c>
      <c r="P196" s="5">
        <f>IFERROR('WEEKLY INPUT'!O196/'WEEKLY INPUT'!F196*90,0)</f>
        <v/>
      </c>
      <c r="Q196" s="5">
        <f>IFERROR(('WEEKLY INPUT'!J196*2+'WEEKLY INPUT'!K196*1+'WEEKLY INPUT'!O196*0.2)/'WEEKLY INPUT'!F196,0)</f>
        <v/>
      </c>
      <c r="R196" s="5">
        <f>MAX(0.25,MIN(1.15,(F196/540)*0.5+G196*0.5))</f>
        <v/>
      </c>
      <c r="S196" s="5">
        <f>MAX(0.70,MIN(1.10,0.85+0.15*G196))</f>
        <v/>
      </c>
      <c r="T196" s="5">
        <f>IF(A196="","",2*('WEEKLY INPUT'!P196/90)+(H196*5+I196*3)*('WEEKLY INPUT'!P196/90)+(P196*0.15)*('WEEKLY INPUT'!P196/90)+Q196*0.25)</f>
        <v/>
      </c>
      <c r="U196" s="5">
        <f>IF($A196="","",$T196*(1+($3-'WEEKLY INPUT'!R196)*0.10)*$R196*$S196*1.0)</f>
        <v/>
      </c>
      <c r="V196" s="5">
        <f>IF($A196="","",$T196*(1+($3-'WEEKLY INPUT'!S196)*0.10)*$R196*$S196*0.975)</f>
        <v/>
      </c>
      <c r="W196" s="5">
        <f>IF($A196="","",$T196*(1+($3-'WEEKLY INPUT'!T196)*0.10)*$R196*$S196*0.95)</f>
        <v/>
      </c>
      <c r="X196" s="5">
        <f>IF($A196="","",$T196*(1+($3-'WEEKLY INPUT'!U196)*0.10)*$R196*$S196*0.925)</f>
        <v/>
      </c>
      <c r="Y196" s="5">
        <f>IF($A196="","",$T196*(1+($3-'WEEKLY INPUT'!V196)*0.10)*$R196*$S196*0.9)</f>
        <v/>
      </c>
      <c r="Z196" s="5">
        <f>IF($A196="","",$T196*(1+($3-'WEEKLY INPUT'!W196)*0.10)*$R196*$S196*0.875)</f>
        <v/>
      </c>
      <c r="AA196" s="5">
        <f>IF($A196="","",$T196*(1+($3-'WEEKLY INPUT'!X196)*0.10)*$R196*$S196*0.85)</f>
        <v/>
      </c>
      <c r="AB196" s="5">
        <f>IF($A196="","",$T196*(1+($3-'WEEKLY INPUT'!Y196)*0.10)*$R196*$S196*0.825)</f>
        <v/>
      </c>
      <c r="AC196" s="5">
        <f>SUM(U196:AB196)</f>
        <v/>
      </c>
      <c r="AD196" s="5">
        <f>SUM(U196:Z196)</f>
        <v/>
      </c>
      <c r="AE196" s="5">
        <f>IFERROR(AD196/D196,0)</f>
        <v/>
      </c>
      <c r="AF196" s="5">
        <f>MAX(0,1-R196)</f>
        <v/>
      </c>
      <c r="AG196" s="5">
        <f>IFERROR((H196+I196)*R196*(1+0.10*(3-'WEEKLY INPUT'!R196)),"")</f>
        <v/>
      </c>
      <c r="AH196" s="5">
        <f>IFERROR(AG196/SUMPRODUCT($AG$6:$AG$205),"")</f>
        <v/>
      </c>
      <c r="AI196" s="5">
        <f>IFERROR(AD196*(1-AF196*0.5)*(1+0.15*AE196),0)</f>
        <v/>
      </c>
      <c r="AJ196" s="5">
        <f>IF(A196="","",RANK(AI196,$AI$6:$AI$205,0))</f>
        <v/>
      </c>
      <c r="AK196" s="5">
        <f>IFERROR('WEEKLY INPUT'!Z196,"")</f>
        <v/>
      </c>
    </row>
    <row r="197">
      <c r="A197" s="5">
        <f>IFERROR('WEEKLY INPUT'!A197,"")</f>
        <v/>
      </c>
      <c r="B197" s="5">
        <f>IFERROR('WEEKLY INPUT'!B197,"")</f>
        <v/>
      </c>
      <c r="C197" s="5">
        <f>IFERROR('WEEKLY INPUT'!C197,"")</f>
        <v/>
      </c>
      <c r="D197" s="5">
        <f>IFERROR('WEEKLY INPUT'!D197,0)</f>
        <v/>
      </c>
      <c r="E197" s="5">
        <f>IFERROR('WEEKLY INPUT'!E197,0)</f>
        <v/>
      </c>
      <c r="F197" s="5">
        <f>IFERROR('WEEKLY INPUT'!F197,0)</f>
        <v/>
      </c>
      <c r="G197" s="5">
        <f>IFERROR('WEEKLY INPUT'!Q197,0)</f>
        <v/>
      </c>
      <c r="H197" s="5">
        <f>IFERROR('WEEKLY INPUT'!H197/'WEEKLY INPUT'!F197*90,0)</f>
        <v/>
      </c>
      <c r="I197" s="5">
        <f>IFERROR('WEEKLY INPUT'!I197/'WEEKLY INPUT'!F197*90,0)</f>
        <v/>
      </c>
      <c r="J197" s="5">
        <f>H197+I197</f>
        <v/>
      </c>
      <c r="K197" s="5">
        <f>IFERROR('WEEKLY INPUT'!J197/'WEEKLY INPUT'!F197*90,0)</f>
        <v/>
      </c>
      <c r="L197" s="5">
        <f>IFERROR('WEEKLY INPUT'!K197/'WEEKLY INPUT'!F197*90,0)</f>
        <v/>
      </c>
      <c r="M197" s="5">
        <f>IFERROR('WEEKLY INPUT'!L197/'WEEKLY INPUT'!F197*90,0)</f>
        <v/>
      </c>
      <c r="N197" s="5">
        <f>IFERROR('WEEKLY INPUT'!M197/'WEEKLY INPUT'!F197*90,0)</f>
        <v/>
      </c>
      <c r="O197" s="5">
        <f>IFERROR('WEEKLY INPUT'!N197/'WEEKLY INPUT'!F197*90,0)</f>
        <v/>
      </c>
      <c r="P197" s="5">
        <f>IFERROR('WEEKLY INPUT'!O197/'WEEKLY INPUT'!F197*90,0)</f>
        <v/>
      </c>
      <c r="Q197" s="5">
        <f>IFERROR(('WEEKLY INPUT'!J197*2+'WEEKLY INPUT'!K197*1+'WEEKLY INPUT'!O197*0.2)/'WEEKLY INPUT'!F197,0)</f>
        <v/>
      </c>
      <c r="R197" s="5">
        <f>MAX(0.25,MIN(1.15,(F197/540)*0.5+G197*0.5))</f>
        <v/>
      </c>
      <c r="S197" s="5">
        <f>MAX(0.70,MIN(1.10,0.85+0.15*G197))</f>
        <v/>
      </c>
      <c r="T197" s="5">
        <f>IF(A197="","",2*('WEEKLY INPUT'!P197/90)+(H197*5+I197*3)*('WEEKLY INPUT'!P197/90)+(P197*0.15)*('WEEKLY INPUT'!P197/90)+Q197*0.25)</f>
        <v/>
      </c>
      <c r="U197" s="5">
        <f>IF($A197="","",$T197*(1+($3-'WEEKLY INPUT'!R197)*0.10)*$R197*$S197*1.0)</f>
        <v/>
      </c>
      <c r="V197" s="5">
        <f>IF($A197="","",$T197*(1+($3-'WEEKLY INPUT'!S197)*0.10)*$R197*$S197*0.975)</f>
        <v/>
      </c>
      <c r="W197" s="5">
        <f>IF($A197="","",$T197*(1+($3-'WEEKLY INPUT'!T197)*0.10)*$R197*$S197*0.95)</f>
        <v/>
      </c>
      <c r="X197" s="5">
        <f>IF($A197="","",$T197*(1+($3-'WEEKLY INPUT'!U197)*0.10)*$R197*$S197*0.925)</f>
        <v/>
      </c>
      <c r="Y197" s="5">
        <f>IF($A197="","",$T197*(1+($3-'WEEKLY INPUT'!V197)*0.10)*$R197*$S197*0.9)</f>
        <v/>
      </c>
      <c r="Z197" s="5">
        <f>IF($A197="","",$T197*(1+($3-'WEEKLY INPUT'!W197)*0.10)*$R197*$S197*0.875)</f>
        <v/>
      </c>
      <c r="AA197" s="5">
        <f>IF($A197="","",$T197*(1+($3-'WEEKLY INPUT'!X197)*0.10)*$R197*$S197*0.85)</f>
        <v/>
      </c>
      <c r="AB197" s="5">
        <f>IF($A197="","",$T197*(1+($3-'WEEKLY INPUT'!Y197)*0.10)*$R197*$S197*0.825)</f>
        <v/>
      </c>
      <c r="AC197" s="5">
        <f>SUM(U197:AB197)</f>
        <v/>
      </c>
      <c r="AD197" s="5">
        <f>SUM(U197:Z197)</f>
        <v/>
      </c>
      <c r="AE197" s="5">
        <f>IFERROR(AD197/D197,0)</f>
        <v/>
      </c>
      <c r="AF197" s="5">
        <f>MAX(0,1-R197)</f>
        <v/>
      </c>
      <c r="AG197" s="5">
        <f>IFERROR((H197+I197)*R197*(1+0.10*(3-'WEEKLY INPUT'!R197)),"")</f>
        <v/>
      </c>
      <c r="AH197" s="5">
        <f>IFERROR(AG197/SUMPRODUCT($AG$6:$AG$205),"")</f>
        <v/>
      </c>
      <c r="AI197" s="5">
        <f>IFERROR(AD197*(1-AF197*0.5)*(1+0.15*AE197),0)</f>
        <v/>
      </c>
      <c r="AJ197" s="5">
        <f>IF(A197="","",RANK(AI197,$AI$6:$AI$205,0))</f>
        <v/>
      </c>
      <c r="AK197" s="5">
        <f>IFERROR('WEEKLY INPUT'!Z197,"")</f>
        <v/>
      </c>
    </row>
    <row r="198">
      <c r="A198" s="5">
        <f>IFERROR('WEEKLY INPUT'!A198,"")</f>
        <v/>
      </c>
      <c r="B198" s="5">
        <f>IFERROR('WEEKLY INPUT'!B198,"")</f>
        <v/>
      </c>
      <c r="C198" s="5">
        <f>IFERROR('WEEKLY INPUT'!C198,"")</f>
        <v/>
      </c>
      <c r="D198" s="5">
        <f>IFERROR('WEEKLY INPUT'!D198,0)</f>
        <v/>
      </c>
      <c r="E198" s="5">
        <f>IFERROR('WEEKLY INPUT'!E198,0)</f>
        <v/>
      </c>
      <c r="F198" s="5">
        <f>IFERROR('WEEKLY INPUT'!F198,0)</f>
        <v/>
      </c>
      <c r="G198" s="5">
        <f>IFERROR('WEEKLY INPUT'!Q198,0)</f>
        <v/>
      </c>
      <c r="H198" s="5">
        <f>IFERROR('WEEKLY INPUT'!H198/'WEEKLY INPUT'!F198*90,0)</f>
        <v/>
      </c>
      <c r="I198" s="5">
        <f>IFERROR('WEEKLY INPUT'!I198/'WEEKLY INPUT'!F198*90,0)</f>
        <v/>
      </c>
      <c r="J198" s="5">
        <f>H198+I198</f>
        <v/>
      </c>
      <c r="K198" s="5">
        <f>IFERROR('WEEKLY INPUT'!J198/'WEEKLY INPUT'!F198*90,0)</f>
        <v/>
      </c>
      <c r="L198" s="5">
        <f>IFERROR('WEEKLY INPUT'!K198/'WEEKLY INPUT'!F198*90,0)</f>
        <v/>
      </c>
      <c r="M198" s="5">
        <f>IFERROR('WEEKLY INPUT'!L198/'WEEKLY INPUT'!F198*90,0)</f>
        <v/>
      </c>
      <c r="N198" s="5">
        <f>IFERROR('WEEKLY INPUT'!M198/'WEEKLY INPUT'!F198*90,0)</f>
        <v/>
      </c>
      <c r="O198" s="5">
        <f>IFERROR('WEEKLY INPUT'!N198/'WEEKLY INPUT'!F198*90,0)</f>
        <v/>
      </c>
      <c r="P198" s="5">
        <f>IFERROR('WEEKLY INPUT'!O198/'WEEKLY INPUT'!F198*90,0)</f>
        <v/>
      </c>
      <c r="Q198" s="5">
        <f>IFERROR(('WEEKLY INPUT'!J198*2+'WEEKLY INPUT'!K198*1+'WEEKLY INPUT'!O198*0.2)/'WEEKLY INPUT'!F198,0)</f>
        <v/>
      </c>
      <c r="R198" s="5">
        <f>MAX(0.25,MIN(1.15,(F198/540)*0.5+G198*0.5))</f>
        <v/>
      </c>
      <c r="S198" s="5">
        <f>MAX(0.70,MIN(1.10,0.85+0.15*G198))</f>
        <v/>
      </c>
      <c r="T198" s="5">
        <f>IF(A198="","",2*('WEEKLY INPUT'!P198/90)+(H198*5+I198*3)*('WEEKLY INPUT'!P198/90)+(P198*0.15)*('WEEKLY INPUT'!P198/90)+Q198*0.25)</f>
        <v/>
      </c>
      <c r="U198" s="5">
        <f>IF($A198="","",$T198*(1+($3-'WEEKLY INPUT'!R198)*0.10)*$R198*$S198*1.0)</f>
        <v/>
      </c>
      <c r="V198" s="5">
        <f>IF($A198="","",$T198*(1+($3-'WEEKLY INPUT'!S198)*0.10)*$R198*$S198*0.975)</f>
        <v/>
      </c>
      <c r="W198" s="5">
        <f>IF($A198="","",$T198*(1+($3-'WEEKLY INPUT'!T198)*0.10)*$R198*$S198*0.95)</f>
        <v/>
      </c>
      <c r="X198" s="5">
        <f>IF($A198="","",$T198*(1+($3-'WEEKLY INPUT'!U198)*0.10)*$R198*$S198*0.925)</f>
        <v/>
      </c>
      <c r="Y198" s="5">
        <f>IF($A198="","",$T198*(1+($3-'WEEKLY INPUT'!V198)*0.10)*$R198*$S198*0.9)</f>
        <v/>
      </c>
      <c r="Z198" s="5">
        <f>IF($A198="","",$T198*(1+($3-'WEEKLY INPUT'!W198)*0.10)*$R198*$S198*0.875)</f>
        <v/>
      </c>
      <c r="AA198" s="5">
        <f>IF($A198="","",$T198*(1+($3-'WEEKLY INPUT'!X198)*0.10)*$R198*$S198*0.85)</f>
        <v/>
      </c>
      <c r="AB198" s="5">
        <f>IF($A198="","",$T198*(1+($3-'WEEKLY INPUT'!Y198)*0.10)*$R198*$S198*0.825)</f>
        <v/>
      </c>
      <c r="AC198" s="5">
        <f>SUM(U198:AB198)</f>
        <v/>
      </c>
      <c r="AD198" s="5">
        <f>SUM(U198:Z198)</f>
        <v/>
      </c>
      <c r="AE198" s="5">
        <f>IFERROR(AD198/D198,0)</f>
        <v/>
      </c>
      <c r="AF198" s="5">
        <f>MAX(0,1-R198)</f>
        <v/>
      </c>
      <c r="AG198" s="5">
        <f>IFERROR((H198+I198)*R198*(1+0.10*(3-'WEEKLY INPUT'!R198)),"")</f>
        <v/>
      </c>
      <c r="AH198" s="5">
        <f>IFERROR(AG198/SUMPRODUCT($AG$6:$AG$205),"")</f>
        <v/>
      </c>
      <c r="AI198" s="5">
        <f>IFERROR(AD198*(1-AF198*0.5)*(1+0.15*AE198),0)</f>
        <v/>
      </c>
      <c r="AJ198" s="5">
        <f>IF(A198="","",RANK(AI198,$AI$6:$AI$205,0))</f>
        <v/>
      </c>
      <c r="AK198" s="5">
        <f>IFERROR('WEEKLY INPUT'!Z198,"")</f>
        <v/>
      </c>
    </row>
    <row r="199">
      <c r="A199" s="5">
        <f>IFERROR('WEEKLY INPUT'!A199,"")</f>
        <v/>
      </c>
      <c r="B199" s="5">
        <f>IFERROR('WEEKLY INPUT'!B199,"")</f>
        <v/>
      </c>
      <c r="C199" s="5">
        <f>IFERROR('WEEKLY INPUT'!C199,"")</f>
        <v/>
      </c>
      <c r="D199" s="5">
        <f>IFERROR('WEEKLY INPUT'!D199,0)</f>
        <v/>
      </c>
      <c r="E199" s="5">
        <f>IFERROR('WEEKLY INPUT'!E199,0)</f>
        <v/>
      </c>
      <c r="F199" s="5">
        <f>IFERROR('WEEKLY INPUT'!F199,0)</f>
        <v/>
      </c>
      <c r="G199" s="5">
        <f>IFERROR('WEEKLY INPUT'!Q199,0)</f>
        <v/>
      </c>
      <c r="H199" s="5">
        <f>IFERROR('WEEKLY INPUT'!H199/'WEEKLY INPUT'!F199*90,0)</f>
        <v/>
      </c>
      <c r="I199" s="5">
        <f>IFERROR('WEEKLY INPUT'!I199/'WEEKLY INPUT'!F199*90,0)</f>
        <v/>
      </c>
      <c r="J199" s="5">
        <f>H199+I199</f>
        <v/>
      </c>
      <c r="K199" s="5">
        <f>IFERROR('WEEKLY INPUT'!J199/'WEEKLY INPUT'!F199*90,0)</f>
        <v/>
      </c>
      <c r="L199" s="5">
        <f>IFERROR('WEEKLY INPUT'!K199/'WEEKLY INPUT'!F199*90,0)</f>
        <v/>
      </c>
      <c r="M199" s="5">
        <f>IFERROR('WEEKLY INPUT'!L199/'WEEKLY INPUT'!F199*90,0)</f>
        <v/>
      </c>
      <c r="N199" s="5">
        <f>IFERROR('WEEKLY INPUT'!M199/'WEEKLY INPUT'!F199*90,0)</f>
        <v/>
      </c>
      <c r="O199" s="5">
        <f>IFERROR('WEEKLY INPUT'!N199/'WEEKLY INPUT'!F199*90,0)</f>
        <v/>
      </c>
      <c r="P199" s="5">
        <f>IFERROR('WEEKLY INPUT'!O199/'WEEKLY INPUT'!F199*90,0)</f>
        <v/>
      </c>
      <c r="Q199" s="5">
        <f>IFERROR(('WEEKLY INPUT'!J199*2+'WEEKLY INPUT'!K199*1+'WEEKLY INPUT'!O199*0.2)/'WEEKLY INPUT'!F199,0)</f>
        <v/>
      </c>
      <c r="R199" s="5">
        <f>MAX(0.25,MIN(1.15,(F199/540)*0.5+G199*0.5))</f>
        <v/>
      </c>
      <c r="S199" s="5">
        <f>MAX(0.70,MIN(1.10,0.85+0.15*G199))</f>
        <v/>
      </c>
      <c r="T199" s="5">
        <f>IF(A199="","",2*('WEEKLY INPUT'!P199/90)+(H199*5+I199*3)*('WEEKLY INPUT'!P199/90)+(P199*0.15)*('WEEKLY INPUT'!P199/90)+Q199*0.25)</f>
        <v/>
      </c>
      <c r="U199" s="5">
        <f>IF($A199="","",$T199*(1+($3-'WEEKLY INPUT'!R199)*0.10)*$R199*$S199*1.0)</f>
        <v/>
      </c>
      <c r="V199" s="5">
        <f>IF($A199="","",$T199*(1+($3-'WEEKLY INPUT'!S199)*0.10)*$R199*$S199*0.975)</f>
        <v/>
      </c>
      <c r="W199" s="5">
        <f>IF($A199="","",$T199*(1+($3-'WEEKLY INPUT'!T199)*0.10)*$R199*$S199*0.95)</f>
        <v/>
      </c>
      <c r="X199" s="5">
        <f>IF($A199="","",$T199*(1+($3-'WEEKLY INPUT'!U199)*0.10)*$R199*$S199*0.925)</f>
        <v/>
      </c>
      <c r="Y199" s="5">
        <f>IF($A199="","",$T199*(1+($3-'WEEKLY INPUT'!V199)*0.10)*$R199*$S199*0.9)</f>
        <v/>
      </c>
      <c r="Z199" s="5">
        <f>IF($A199="","",$T199*(1+($3-'WEEKLY INPUT'!W199)*0.10)*$R199*$S199*0.875)</f>
        <v/>
      </c>
      <c r="AA199" s="5">
        <f>IF($A199="","",$T199*(1+($3-'WEEKLY INPUT'!X199)*0.10)*$R199*$S199*0.85)</f>
        <v/>
      </c>
      <c r="AB199" s="5">
        <f>IF($A199="","",$T199*(1+($3-'WEEKLY INPUT'!Y199)*0.10)*$R199*$S199*0.825)</f>
        <v/>
      </c>
      <c r="AC199" s="5">
        <f>SUM(U199:AB199)</f>
        <v/>
      </c>
      <c r="AD199" s="5">
        <f>SUM(U199:Z199)</f>
        <v/>
      </c>
      <c r="AE199" s="5">
        <f>IFERROR(AD199/D199,0)</f>
        <v/>
      </c>
      <c r="AF199" s="5">
        <f>MAX(0,1-R199)</f>
        <v/>
      </c>
      <c r="AG199" s="5">
        <f>IFERROR((H199+I199)*R199*(1+0.10*(3-'WEEKLY INPUT'!R199)),"")</f>
        <v/>
      </c>
      <c r="AH199" s="5">
        <f>IFERROR(AG199/SUMPRODUCT($AG$6:$AG$205),"")</f>
        <v/>
      </c>
      <c r="AI199" s="5">
        <f>IFERROR(AD199*(1-AF199*0.5)*(1+0.15*AE199),0)</f>
        <v/>
      </c>
      <c r="AJ199" s="5">
        <f>IF(A199="","",RANK(AI199,$AI$6:$AI$205,0))</f>
        <v/>
      </c>
      <c r="AK199" s="5">
        <f>IFERROR('WEEKLY INPUT'!Z199,"")</f>
        <v/>
      </c>
    </row>
    <row r="200">
      <c r="A200" s="5">
        <f>IFERROR('WEEKLY INPUT'!A200,"")</f>
        <v/>
      </c>
      <c r="B200" s="5">
        <f>IFERROR('WEEKLY INPUT'!B200,"")</f>
        <v/>
      </c>
      <c r="C200" s="5">
        <f>IFERROR('WEEKLY INPUT'!C200,"")</f>
        <v/>
      </c>
      <c r="D200" s="5">
        <f>IFERROR('WEEKLY INPUT'!D200,0)</f>
        <v/>
      </c>
      <c r="E200" s="5">
        <f>IFERROR('WEEKLY INPUT'!E200,0)</f>
        <v/>
      </c>
      <c r="F200" s="5">
        <f>IFERROR('WEEKLY INPUT'!F200,0)</f>
        <v/>
      </c>
      <c r="G200" s="5">
        <f>IFERROR('WEEKLY INPUT'!Q200,0)</f>
        <v/>
      </c>
      <c r="H200" s="5">
        <f>IFERROR('WEEKLY INPUT'!H200/'WEEKLY INPUT'!F200*90,0)</f>
        <v/>
      </c>
      <c r="I200" s="5">
        <f>IFERROR('WEEKLY INPUT'!I200/'WEEKLY INPUT'!F200*90,0)</f>
        <v/>
      </c>
      <c r="J200" s="5">
        <f>H200+I200</f>
        <v/>
      </c>
      <c r="K200" s="5">
        <f>IFERROR('WEEKLY INPUT'!J200/'WEEKLY INPUT'!F200*90,0)</f>
        <v/>
      </c>
      <c r="L200" s="5">
        <f>IFERROR('WEEKLY INPUT'!K200/'WEEKLY INPUT'!F200*90,0)</f>
        <v/>
      </c>
      <c r="M200" s="5">
        <f>IFERROR('WEEKLY INPUT'!L200/'WEEKLY INPUT'!F200*90,0)</f>
        <v/>
      </c>
      <c r="N200" s="5">
        <f>IFERROR('WEEKLY INPUT'!M200/'WEEKLY INPUT'!F200*90,0)</f>
        <v/>
      </c>
      <c r="O200" s="5">
        <f>IFERROR('WEEKLY INPUT'!N200/'WEEKLY INPUT'!F200*90,0)</f>
        <v/>
      </c>
      <c r="P200" s="5">
        <f>IFERROR('WEEKLY INPUT'!O200/'WEEKLY INPUT'!F200*90,0)</f>
        <v/>
      </c>
      <c r="Q200" s="5">
        <f>IFERROR(('WEEKLY INPUT'!J200*2+'WEEKLY INPUT'!K200*1+'WEEKLY INPUT'!O200*0.2)/'WEEKLY INPUT'!F200,0)</f>
        <v/>
      </c>
      <c r="R200" s="5">
        <f>MAX(0.25,MIN(1.15,(F200/540)*0.5+G200*0.5))</f>
        <v/>
      </c>
      <c r="S200" s="5">
        <f>MAX(0.70,MIN(1.10,0.85+0.15*G200))</f>
        <v/>
      </c>
      <c r="T200" s="5">
        <f>IF(A200="","",2*('WEEKLY INPUT'!P200/90)+(H200*5+I200*3)*('WEEKLY INPUT'!P200/90)+(P200*0.15)*('WEEKLY INPUT'!P200/90)+Q200*0.25)</f>
        <v/>
      </c>
      <c r="U200" s="5">
        <f>IF($A200="","",$T200*(1+($3-'WEEKLY INPUT'!R200)*0.10)*$R200*$S200*1.0)</f>
        <v/>
      </c>
      <c r="V200" s="5">
        <f>IF($A200="","",$T200*(1+($3-'WEEKLY INPUT'!S200)*0.10)*$R200*$S200*0.975)</f>
        <v/>
      </c>
      <c r="W200" s="5">
        <f>IF($A200="","",$T200*(1+($3-'WEEKLY INPUT'!T200)*0.10)*$R200*$S200*0.95)</f>
        <v/>
      </c>
      <c r="X200" s="5">
        <f>IF($A200="","",$T200*(1+($3-'WEEKLY INPUT'!U200)*0.10)*$R200*$S200*0.925)</f>
        <v/>
      </c>
      <c r="Y200" s="5">
        <f>IF($A200="","",$T200*(1+($3-'WEEKLY INPUT'!V200)*0.10)*$R200*$S200*0.9)</f>
        <v/>
      </c>
      <c r="Z200" s="5">
        <f>IF($A200="","",$T200*(1+($3-'WEEKLY INPUT'!W200)*0.10)*$R200*$S200*0.875)</f>
        <v/>
      </c>
      <c r="AA200" s="5">
        <f>IF($A200="","",$T200*(1+($3-'WEEKLY INPUT'!X200)*0.10)*$R200*$S200*0.85)</f>
        <v/>
      </c>
      <c r="AB200" s="5">
        <f>IF($A200="","",$T200*(1+($3-'WEEKLY INPUT'!Y200)*0.10)*$R200*$S200*0.825)</f>
        <v/>
      </c>
      <c r="AC200" s="5">
        <f>SUM(U200:AB200)</f>
        <v/>
      </c>
      <c r="AD200" s="5">
        <f>SUM(U200:Z200)</f>
        <v/>
      </c>
      <c r="AE200" s="5">
        <f>IFERROR(AD200/D200,0)</f>
        <v/>
      </c>
      <c r="AF200" s="5">
        <f>MAX(0,1-R200)</f>
        <v/>
      </c>
      <c r="AG200" s="5">
        <f>IFERROR((H200+I200)*R200*(1+0.10*(3-'WEEKLY INPUT'!R200)),"")</f>
        <v/>
      </c>
      <c r="AH200" s="5">
        <f>IFERROR(AG200/SUMPRODUCT($AG$6:$AG$205),"")</f>
        <v/>
      </c>
      <c r="AI200" s="5">
        <f>IFERROR(AD200*(1-AF200*0.5)*(1+0.15*AE200),0)</f>
        <v/>
      </c>
      <c r="AJ200" s="5">
        <f>IF(A200="","",RANK(AI200,$AI$6:$AI$205,0))</f>
        <v/>
      </c>
      <c r="AK200" s="5">
        <f>IFERROR('WEEKLY INPUT'!Z200,"")</f>
        <v/>
      </c>
    </row>
    <row r="201">
      <c r="A201" s="5">
        <f>IFERROR('WEEKLY INPUT'!A201,"")</f>
        <v/>
      </c>
      <c r="B201" s="5">
        <f>IFERROR('WEEKLY INPUT'!B201,"")</f>
        <v/>
      </c>
      <c r="C201" s="5">
        <f>IFERROR('WEEKLY INPUT'!C201,"")</f>
        <v/>
      </c>
      <c r="D201" s="5">
        <f>IFERROR('WEEKLY INPUT'!D201,0)</f>
        <v/>
      </c>
      <c r="E201" s="5">
        <f>IFERROR('WEEKLY INPUT'!E201,0)</f>
        <v/>
      </c>
      <c r="F201" s="5">
        <f>IFERROR('WEEKLY INPUT'!F201,0)</f>
        <v/>
      </c>
      <c r="G201" s="5">
        <f>IFERROR('WEEKLY INPUT'!Q201,0)</f>
        <v/>
      </c>
      <c r="H201" s="5">
        <f>IFERROR('WEEKLY INPUT'!H201/'WEEKLY INPUT'!F201*90,0)</f>
        <v/>
      </c>
      <c r="I201" s="5">
        <f>IFERROR('WEEKLY INPUT'!I201/'WEEKLY INPUT'!F201*90,0)</f>
        <v/>
      </c>
      <c r="J201" s="5">
        <f>H201+I201</f>
        <v/>
      </c>
      <c r="K201" s="5">
        <f>IFERROR('WEEKLY INPUT'!J201/'WEEKLY INPUT'!F201*90,0)</f>
        <v/>
      </c>
      <c r="L201" s="5">
        <f>IFERROR('WEEKLY INPUT'!K201/'WEEKLY INPUT'!F201*90,0)</f>
        <v/>
      </c>
      <c r="M201" s="5">
        <f>IFERROR('WEEKLY INPUT'!L201/'WEEKLY INPUT'!F201*90,0)</f>
        <v/>
      </c>
      <c r="N201" s="5">
        <f>IFERROR('WEEKLY INPUT'!M201/'WEEKLY INPUT'!F201*90,0)</f>
        <v/>
      </c>
      <c r="O201" s="5">
        <f>IFERROR('WEEKLY INPUT'!N201/'WEEKLY INPUT'!F201*90,0)</f>
        <v/>
      </c>
      <c r="P201" s="5">
        <f>IFERROR('WEEKLY INPUT'!O201/'WEEKLY INPUT'!F201*90,0)</f>
        <v/>
      </c>
      <c r="Q201" s="5">
        <f>IFERROR(('WEEKLY INPUT'!J201*2+'WEEKLY INPUT'!K201*1+'WEEKLY INPUT'!O201*0.2)/'WEEKLY INPUT'!F201,0)</f>
        <v/>
      </c>
      <c r="R201" s="5">
        <f>MAX(0.25,MIN(1.15,(F201/540)*0.5+G201*0.5))</f>
        <v/>
      </c>
      <c r="S201" s="5">
        <f>MAX(0.70,MIN(1.10,0.85+0.15*G201))</f>
        <v/>
      </c>
      <c r="T201" s="5">
        <f>IF(A201="","",2*('WEEKLY INPUT'!P201/90)+(H201*5+I201*3)*('WEEKLY INPUT'!P201/90)+(P201*0.15)*('WEEKLY INPUT'!P201/90)+Q201*0.25)</f>
        <v/>
      </c>
      <c r="U201" s="5">
        <f>IF($A201="","",$T201*(1+($3-'WEEKLY INPUT'!R201)*0.10)*$R201*$S201*1.0)</f>
        <v/>
      </c>
      <c r="V201" s="5">
        <f>IF($A201="","",$T201*(1+($3-'WEEKLY INPUT'!S201)*0.10)*$R201*$S201*0.975)</f>
        <v/>
      </c>
      <c r="W201" s="5">
        <f>IF($A201="","",$T201*(1+($3-'WEEKLY INPUT'!T201)*0.10)*$R201*$S201*0.95)</f>
        <v/>
      </c>
      <c r="X201" s="5">
        <f>IF($A201="","",$T201*(1+($3-'WEEKLY INPUT'!U201)*0.10)*$R201*$S201*0.925)</f>
        <v/>
      </c>
      <c r="Y201" s="5">
        <f>IF($A201="","",$T201*(1+($3-'WEEKLY INPUT'!V201)*0.10)*$R201*$S201*0.9)</f>
        <v/>
      </c>
      <c r="Z201" s="5">
        <f>IF($A201="","",$T201*(1+($3-'WEEKLY INPUT'!W201)*0.10)*$R201*$S201*0.875)</f>
        <v/>
      </c>
      <c r="AA201" s="5">
        <f>IF($A201="","",$T201*(1+($3-'WEEKLY INPUT'!X201)*0.10)*$R201*$S201*0.85)</f>
        <v/>
      </c>
      <c r="AB201" s="5">
        <f>IF($A201="","",$T201*(1+($3-'WEEKLY INPUT'!Y201)*0.10)*$R201*$S201*0.825)</f>
        <v/>
      </c>
      <c r="AC201" s="5">
        <f>SUM(U201:AB201)</f>
        <v/>
      </c>
      <c r="AD201" s="5">
        <f>SUM(U201:Z201)</f>
        <v/>
      </c>
      <c r="AE201" s="5">
        <f>IFERROR(AD201/D201,0)</f>
        <v/>
      </c>
      <c r="AF201" s="5">
        <f>MAX(0,1-R201)</f>
        <v/>
      </c>
      <c r="AG201" s="5">
        <f>IFERROR((H201+I201)*R201*(1+0.10*(3-'WEEKLY INPUT'!R201)),"")</f>
        <v/>
      </c>
      <c r="AH201" s="5">
        <f>IFERROR(AG201/SUMPRODUCT($AG$6:$AG$205),"")</f>
        <v/>
      </c>
      <c r="AI201" s="5">
        <f>IFERROR(AD201*(1-AF201*0.5)*(1+0.15*AE201),0)</f>
        <v/>
      </c>
      <c r="AJ201" s="5">
        <f>IF(A201="","",RANK(AI201,$AI$6:$AI$205,0))</f>
        <v/>
      </c>
      <c r="AK201" s="5">
        <f>IFERROR('WEEKLY INPUT'!Z201,"")</f>
        <v/>
      </c>
    </row>
    <row r="202">
      <c r="A202" s="5">
        <f>IFERROR('WEEKLY INPUT'!A202,"")</f>
        <v/>
      </c>
      <c r="B202" s="5">
        <f>IFERROR('WEEKLY INPUT'!B202,"")</f>
        <v/>
      </c>
      <c r="C202" s="5">
        <f>IFERROR('WEEKLY INPUT'!C202,"")</f>
        <v/>
      </c>
      <c r="D202" s="5">
        <f>IFERROR('WEEKLY INPUT'!D202,0)</f>
        <v/>
      </c>
      <c r="E202" s="5">
        <f>IFERROR('WEEKLY INPUT'!E202,0)</f>
        <v/>
      </c>
      <c r="F202" s="5">
        <f>IFERROR('WEEKLY INPUT'!F202,0)</f>
        <v/>
      </c>
      <c r="G202" s="5">
        <f>IFERROR('WEEKLY INPUT'!Q202,0)</f>
        <v/>
      </c>
      <c r="H202" s="5">
        <f>IFERROR('WEEKLY INPUT'!H202/'WEEKLY INPUT'!F202*90,0)</f>
        <v/>
      </c>
      <c r="I202" s="5">
        <f>IFERROR('WEEKLY INPUT'!I202/'WEEKLY INPUT'!F202*90,0)</f>
        <v/>
      </c>
      <c r="J202" s="5">
        <f>H202+I202</f>
        <v/>
      </c>
      <c r="K202" s="5">
        <f>IFERROR('WEEKLY INPUT'!J202/'WEEKLY INPUT'!F202*90,0)</f>
        <v/>
      </c>
      <c r="L202" s="5">
        <f>IFERROR('WEEKLY INPUT'!K202/'WEEKLY INPUT'!F202*90,0)</f>
        <v/>
      </c>
      <c r="M202" s="5">
        <f>IFERROR('WEEKLY INPUT'!L202/'WEEKLY INPUT'!F202*90,0)</f>
        <v/>
      </c>
      <c r="N202" s="5">
        <f>IFERROR('WEEKLY INPUT'!M202/'WEEKLY INPUT'!F202*90,0)</f>
        <v/>
      </c>
      <c r="O202" s="5">
        <f>IFERROR('WEEKLY INPUT'!N202/'WEEKLY INPUT'!F202*90,0)</f>
        <v/>
      </c>
      <c r="P202" s="5">
        <f>IFERROR('WEEKLY INPUT'!O202/'WEEKLY INPUT'!F202*90,0)</f>
        <v/>
      </c>
      <c r="Q202" s="5">
        <f>IFERROR(('WEEKLY INPUT'!J202*2+'WEEKLY INPUT'!K202*1+'WEEKLY INPUT'!O202*0.2)/'WEEKLY INPUT'!F202,0)</f>
        <v/>
      </c>
      <c r="R202" s="5">
        <f>MAX(0.25,MIN(1.15,(F202/540)*0.5+G202*0.5))</f>
        <v/>
      </c>
      <c r="S202" s="5">
        <f>MAX(0.70,MIN(1.10,0.85+0.15*G202))</f>
        <v/>
      </c>
      <c r="T202" s="5">
        <f>IF(A202="","",2*('WEEKLY INPUT'!P202/90)+(H202*5+I202*3)*('WEEKLY INPUT'!P202/90)+(P202*0.15)*('WEEKLY INPUT'!P202/90)+Q202*0.25)</f>
        <v/>
      </c>
      <c r="U202" s="5">
        <f>IF($A202="","",$T202*(1+($3-'WEEKLY INPUT'!R202)*0.10)*$R202*$S202*1.0)</f>
        <v/>
      </c>
      <c r="V202" s="5">
        <f>IF($A202="","",$T202*(1+($3-'WEEKLY INPUT'!S202)*0.10)*$R202*$S202*0.975)</f>
        <v/>
      </c>
      <c r="W202" s="5">
        <f>IF($A202="","",$T202*(1+($3-'WEEKLY INPUT'!T202)*0.10)*$R202*$S202*0.95)</f>
        <v/>
      </c>
      <c r="X202" s="5">
        <f>IF($A202="","",$T202*(1+($3-'WEEKLY INPUT'!U202)*0.10)*$R202*$S202*0.925)</f>
        <v/>
      </c>
      <c r="Y202" s="5">
        <f>IF($A202="","",$T202*(1+($3-'WEEKLY INPUT'!V202)*0.10)*$R202*$S202*0.9)</f>
        <v/>
      </c>
      <c r="Z202" s="5">
        <f>IF($A202="","",$T202*(1+($3-'WEEKLY INPUT'!W202)*0.10)*$R202*$S202*0.875)</f>
        <v/>
      </c>
      <c r="AA202" s="5">
        <f>IF($A202="","",$T202*(1+($3-'WEEKLY INPUT'!X202)*0.10)*$R202*$S202*0.85)</f>
        <v/>
      </c>
      <c r="AB202" s="5">
        <f>IF($A202="","",$T202*(1+($3-'WEEKLY INPUT'!Y202)*0.10)*$R202*$S202*0.825)</f>
        <v/>
      </c>
      <c r="AC202" s="5">
        <f>SUM(U202:AB202)</f>
        <v/>
      </c>
      <c r="AD202" s="5">
        <f>SUM(U202:Z202)</f>
        <v/>
      </c>
      <c r="AE202" s="5">
        <f>IFERROR(AD202/D202,0)</f>
        <v/>
      </c>
      <c r="AF202" s="5">
        <f>MAX(0,1-R202)</f>
        <v/>
      </c>
      <c r="AG202" s="5">
        <f>IFERROR((H202+I202)*R202*(1+0.10*(3-'WEEKLY INPUT'!R202)),"")</f>
        <v/>
      </c>
      <c r="AH202" s="5">
        <f>IFERROR(AG202/SUMPRODUCT($AG$6:$AG$205),"")</f>
        <v/>
      </c>
      <c r="AI202" s="5">
        <f>IFERROR(AD202*(1-AF202*0.5)*(1+0.15*AE202),0)</f>
        <v/>
      </c>
      <c r="AJ202" s="5">
        <f>IF(A202="","",RANK(AI202,$AI$6:$AI$205,0))</f>
        <v/>
      </c>
      <c r="AK202" s="5">
        <f>IFERROR('WEEKLY INPUT'!Z202,"")</f>
        <v/>
      </c>
    </row>
    <row r="203">
      <c r="A203" s="5">
        <f>IFERROR('WEEKLY INPUT'!A203,"")</f>
        <v/>
      </c>
      <c r="B203" s="5">
        <f>IFERROR('WEEKLY INPUT'!B203,"")</f>
        <v/>
      </c>
      <c r="C203" s="5">
        <f>IFERROR('WEEKLY INPUT'!C203,"")</f>
        <v/>
      </c>
      <c r="D203" s="5">
        <f>IFERROR('WEEKLY INPUT'!D203,0)</f>
        <v/>
      </c>
      <c r="E203" s="5">
        <f>IFERROR('WEEKLY INPUT'!E203,0)</f>
        <v/>
      </c>
      <c r="F203" s="5">
        <f>IFERROR('WEEKLY INPUT'!F203,0)</f>
        <v/>
      </c>
      <c r="G203" s="5">
        <f>IFERROR('WEEKLY INPUT'!Q203,0)</f>
        <v/>
      </c>
      <c r="H203" s="5">
        <f>IFERROR('WEEKLY INPUT'!H203/'WEEKLY INPUT'!F203*90,0)</f>
        <v/>
      </c>
      <c r="I203" s="5">
        <f>IFERROR('WEEKLY INPUT'!I203/'WEEKLY INPUT'!F203*90,0)</f>
        <v/>
      </c>
      <c r="J203" s="5">
        <f>H203+I203</f>
        <v/>
      </c>
      <c r="K203" s="5">
        <f>IFERROR('WEEKLY INPUT'!J203/'WEEKLY INPUT'!F203*90,0)</f>
        <v/>
      </c>
      <c r="L203" s="5">
        <f>IFERROR('WEEKLY INPUT'!K203/'WEEKLY INPUT'!F203*90,0)</f>
        <v/>
      </c>
      <c r="M203" s="5">
        <f>IFERROR('WEEKLY INPUT'!L203/'WEEKLY INPUT'!F203*90,0)</f>
        <v/>
      </c>
      <c r="N203" s="5">
        <f>IFERROR('WEEKLY INPUT'!M203/'WEEKLY INPUT'!F203*90,0)</f>
        <v/>
      </c>
      <c r="O203" s="5">
        <f>IFERROR('WEEKLY INPUT'!N203/'WEEKLY INPUT'!F203*90,0)</f>
        <v/>
      </c>
      <c r="P203" s="5">
        <f>IFERROR('WEEKLY INPUT'!O203/'WEEKLY INPUT'!F203*90,0)</f>
        <v/>
      </c>
      <c r="Q203" s="5">
        <f>IFERROR(('WEEKLY INPUT'!J203*2+'WEEKLY INPUT'!K203*1+'WEEKLY INPUT'!O203*0.2)/'WEEKLY INPUT'!F203,0)</f>
        <v/>
      </c>
      <c r="R203" s="5">
        <f>MAX(0.25,MIN(1.15,(F203/540)*0.5+G203*0.5))</f>
        <v/>
      </c>
      <c r="S203" s="5">
        <f>MAX(0.70,MIN(1.10,0.85+0.15*G203))</f>
        <v/>
      </c>
      <c r="T203" s="5">
        <f>IF(A203="","",2*('WEEKLY INPUT'!P203/90)+(H203*5+I203*3)*('WEEKLY INPUT'!P203/90)+(P203*0.15)*('WEEKLY INPUT'!P203/90)+Q203*0.25)</f>
        <v/>
      </c>
      <c r="U203" s="5">
        <f>IF($A203="","",$T203*(1+($3-'WEEKLY INPUT'!R203)*0.10)*$R203*$S203*1.0)</f>
        <v/>
      </c>
      <c r="V203" s="5">
        <f>IF($A203="","",$T203*(1+($3-'WEEKLY INPUT'!S203)*0.10)*$R203*$S203*0.975)</f>
        <v/>
      </c>
      <c r="W203" s="5">
        <f>IF($A203="","",$T203*(1+($3-'WEEKLY INPUT'!T203)*0.10)*$R203*$S203*0.95)</f>
        <v/>
      </c>
      <c r="X203" s="5">
        <f>IF($A203="","",$T203*(1+($3-'WEEKLY INPUT'!U203)*0.10)*$R203*$S203*0.925)</f>
        <v/>
      </c>
      <c r="Y203" s="5">
        <f>IF($A203="","",$T203*(1+($3-'WEEKLY INPUT'!V203)*0.10)*$R203*$S203*0.9)</f>
        <v/>
      </c>
      <c r="Z203" s="5">
        <f>IF($A203="","",$T203*(1+($3-'WEEKLY INPUT'!W203)*0.10)*$R203*$S203*0.875)</f>
        <v/>
      </c>
      <c r="AA203" s="5">
        <f>IF($A203="","",$T203*(1+($3-'WEEKLY INPUT'!X203)*0.10)*$R203*$S203*0.85)</f>
        <v/>
      </c>
      <c r="AB203" s="5">
        <f>IF($A203="","",$T203*(1+($3-'WEEKLY INPUT'!Y203)*0.10)*$R203*$S203*0.825)</f>
        <v/>
      </c>
      <c r="AC203" s="5">
        <f>SUM(U203:AB203)</f>
        <v/>
      </c>
      <c r="AD203" s="5">
        <f>SUM(U203:Z203)</f>
        <v/>
      </c>
      <c r="AE203" s="5">
        <f>IFERROR(AD203/D203,0)</f>
        <v/>
      </c>
      <c r="AF203" s="5">
        <f>MAX(0,1-R203)</f>
        <v/>
      </c>
      <c r="AG203" s="5">
        <f>IFERROR((H203+I203)*R203*(1+0.10*(3-'WEEKLY INPUT'!R203)),"")</f>
        <v/>
      </c>
      <c r="AH203" s="5">
        <f>IFERROR(AG203/SUMPRODUCT($AG$6:$AG$205),"")</f>
        <v/>
      </c>
      <c r="AI203" s="5">
        <f>IFERROR(AD203*(1-AF203*0.5)*(1+0.15*AE203),0)</f>
        <v/>
      </c>
      <c r="AJ203" s="5">
        <f>IF(A203="","",RANK(AI203,$AI$6:$AI$205,0))</f>
        <v/>
      </c>
      <c r="AK203" s="5">
        <f>IFERROR('WEEKLY INPUT'!Z203,"")</f>
        <v/>
      </c>
    </row>
    <row r="204">
      <c r="A204" s="5">
        <f>IFERROR('WEEKLY INPUT'!A204,"")</f>
        <v/>
      </c>
      <c r="B204" s="5">
        <f>IFERROR('WEEKLY INPUT'!B204,"")</f>
        <v/>
      </c>
      <c r="C204" s="5">
        <f>IFERROR('WEEKLY INPUT'!C204,"")</f>
        <v/>
      </c>
      <c r="D204" s="5">
        <f>IFERROR('WEEKLY INPUT'!D204,0)</f>
        <v/>
      </c>
      <c r="E204" s="5">
        <f>IFERROR('WEEKLY INPUT'!E204,0)</f>
        <v/>
      </c>
      <c r="F204" s="5">
        <f>IFERROR('WEEKLY INPUT'!F204,0)</f>
        <v/>
      </c>
      <c r="G204" s="5">
        <f>IFERROR('WEEKLY INPUT'!Q204,0)</f>
        <v/>
      </c>
      <c r="H204" s="5">
        <f>IFERROR('WEEKLY INPUT'!H204/'WEEKLY INPUT'!F204*90,0)</f>
        <v/>
      </c>
      <c r="I204" s="5">
        <f>IFERROR('WEEKLY INPUT'!I204/'WEEKLY INPUT'!F204*90,0)</f>
        <v/>
      </c>
      <c r="J204" s="5">
        <f>H204+I204</f>
        <v/>
      </c>
      <c r="K204" s="5">
        <f>IFERROR('WEEKLY INPUT'!J204/'WEEKLY INPUT'!F204*90,0)</f>
        <v/>
      </c>
      <c r="L204" s="5">
        <f>IFERROR('WEEKLY INPUT'!K204/'WEEKLY INPUT'!F204*90,0)</f>
        <v/>
      </c>
      <c r="M204" s="5">
        <f>IFERROR('WEEKLY INPUT'!L204/'WEEKLY INPUT'!F204*90,0)</f>
        <v/>
      </c>
      <c r="N204" s="5">
        <f>IFERROR('WEEKLY INPUT'!M204/'WEEKLY INPUT'!F204*90,0)</f>
        <v/>
      </c>
      <c r="O204" s="5">
        <f>IFERROR('WEEKLY INPUT'!N204/'WEEKLY INPUT'!F204*90,0)</f>
        <v/>
      </c>
      <c r="P204" s="5">
        <f>IFERROR('WEEKLY INPUT'!O204/'WEEKLY INPUT'!F204*90,0)</f>
        <v/>
      </c>
      <c r="Q204" s="5">
        <f>IFERROR(('WEEKLY INPUT'!J204*2+'WEEKLY INPUT'!K204*1+'WEEKLY INPUT'!O204*0.2)/'WEEKLY INPUT'!F204,0)</f>
        <v/>
      </c>
      <c r="R204" s="5">
        <f>MAX(0.25,MIN(1.15,(F204/540)*0.5+G204*0.5))</f>
        <v/>
      </c>
      <c r="S204" s="5">
        <f>MAX(0.70,MIN(1.10,0.85+0.15*G204))</f>
        <v/>
      </c>
      <c r="T204" s="5">
        <f>IF(A204="","",2*('WEEKLY INPUT'!P204/90)+(H204*5+I204*3)*('WEEKLY INPUT'!P204/90)+(P204*0.15)*('WEEKLY INPUT'!P204/90)+Q204*0.25)</f>
        <v/>
      </c>
      <c r="U204" s="5">
        <f>IF($A204="","",$T204*(1+($3-'WEEKLY INPUT'!R204)*0.10)*$R204*$S204*1.0)</f>
        <v/>
      </c>
      <c r="V204" s="5">
        <f>IF($A204="","",$T204*(1+($3-'WEEKLY INPUT'!S204)*0.10)*$R204*$S204*0.975)</f>
        <v/>
      </c>
      <c r="W204" s="5">
        <f>IF($A204="","",$T204*(1+($3-'WEEKLY INPUT'!T204)*0.10)*$R204*$S204*0.95)</f>
        <v/>
      </c>
      <c r="X204" s="5">
        <f>IF($A204="","",$T204*(1+($3-'WEEKLY INPUT'!U204)*0.10)*$R204*$S204*0.925)</f>
        <v/>
      </c>
      <c r="Y204" s="5">
        <f>IF($A204="","",$T204*(1+($3-'WEEKLY INPUT'!V204)*0.10)*$R204*$S204*0.9)</f>
        <v/>
      </c>
      <c r="Z204" s="5">
        <f>IF($A204="","",$T204*(1+($3-'WEEKLY INPUT'!W204)*0.10)*$R204*$S204*0.875)</f>
        <v/>
      </c>
      <c r="AA204" s="5">
        <f>IF($A204="","",$T204*(1+($3-'WEEKLY INPUT'!X204)*0.10)*$R204*$S204*0.85)</f>
        <v/>
      </c>
      <c r="AB204" s="5">
        <f>IF($A204="","",$T204*(1+($3-'WEEKLY INPUT'!Y204)*0.10)*$R204*$S204*0.825)</f>
        <v/>
      </c>
      <c r="AC204" s="5">
        <f>SUM(U204:AB204)</f>
        <v/>
      </c>
      <c r="AD204" s="5">
        <f>SUM(U204:Z204)</f>
        <v/>
      </c>
      <c r="AE204" s="5">
        <f>IFERROR(AD204/D204,0)</f>
        <v/>
      </c>
      <c r="AF204" s="5">
        <f>MAX(0,1-R204)</f>
        <v/>
      </c>
      <c r="AG204" s="5">
        <f>IFERROR((H204+I204)*R204*(1+0.10*(3-'WEEKLY INPUT'!R204)),"")</f>
        <v/>
      </c>
      <c r="AH204" s="5">
        <f>IFERROR(AG204/SUMPRODUCT($AG$6:$AG$205),"")</f>
        <v/>
      </c>
      <c r="AI204" s="5">
        <f>IFERROR(AD204*(1-AF204*0.5)*(1+0.15*AE204),0)</f>
        <v/>
      </c>
      <c r="AJ204" s="5">
        <f>IF(A204="","",RANK(AI204,$AI$6:$AI$205,0))</f>
        <v/>
      </c>
      <c r="AK204" s="5">
        <f>IFERROR('WEEKLY INPUT'!Z204,"")</f>
        <v/>
      </c>
    </row>
    <row r="205">
      <c r="A205" s="5">
        <f>IFERROR('WEEKLY INPUT'!A205,"")</f>
        <v/>
      </c>
      <c r="B205" s="5">
        <f>IFERROR('WEEKLY INPUT'!B205,"")</f>
        <v/>
      </c>
      <c r="C205" s="5">
        <f>IFERROR('WEEKLY INPUT'!C205,"")</f>
        <v/>
      </c>
      <c r="D205" s="5">
        <f>IFERROR('WEEKLY INPUT'!D205,0)</f>
        <v/>
      </c>
      <c r="E205" s="5">
        <f>IFERROR('WEEKLY INPUT'!E205,0)</f>
        <v/>
      </c>
      <c r="F205" s="5">
        <f>IFERROR('WEEKLY INPUT'!F205,0)</f>
        <v/>
      </c>
      <c r="G205" s="5">
        <f>IFERROR('WEEKLY INPUT'!Q205,0)</f>
        <v/>
      </c>
      <c r="H205" s="5">
        <f>IFERROR('WEEKLY INPUT'!H205/'WEEKLY INPUT'!F205*90,0)</f>
        <v/>
      </c>
      <c r="I205" s="5">
        <f>IFERROR('WEEKLY INPUT'!I205/'WEEKLY INPUT'!F205*90,0)</f>
        <v/>
      </c>
      <c r="J205" s="5">
        <f>H205+I205</f>
        <v/>
      </c>
      <c r="K205" s="5">
        <f>IFERROR('WEEKLY INPUT'!J205/'WEEKLY INPUT'!F205*90,0)</f>
        <v/>
      </c>
      <c r="L205" s="5">
        <f>IFERROR('WEEKLY INPUT'!K205/'WEEKLY INPUT'!F205*90,0)</f>
        <v/>
      </c>
      <c r="M205" s="5">
        <f>IFERROR('WEEKLY INPUT'!L205/'WEEKLY INPUT'!F205*90,0)</f>
        <v/>
      </c>
      <c r="N205" s="5">
        <f>IFERROR('WEEKLY INPUT'!M205/'WEEKLY INPUT'!F205*90,0)</f>
        <v/>
      </c>
      <c r="O205" s="5">
        <f>IFERROR('WEEKLY INPUT'!N205/'WEEKLY INPUT'!F205*90,0)</f>
        <v/>
      </c>
      <c r="P205" s="5">
        <f>IFERROR('WEEKLY INPUT'!O205/'WEEKLY INPUT'!F205*90,0)</f>
        <v/>
      </c>
      <c r="Q205" s="5">
        <f>IFERROR(('WEEKLY INPUT'!J205*2+'WEEKLY INPUT'!K205*1+'WEEKLY INPUT'!O205*0.2)/'WEEKLY INPUT'!F205,0)</f>
        <v/>
      </c>
      <c r="R205" s="5">
        <f>MAX(0.25,MIN(1.15,(F205/540)*0.5+G205*0.5))</f>
        <v/>
      </c>
      <c r="S205" s="5">
        <f>MAX(0.70,MIN(1.10,0.85+0.15*G205))</f>
        <v/>
      </c>
      <c r="T205" s="5">
        <f>IF(A205="","",2*('WEEKLY INPUT'!P205/90)+(H205*5+I205*3)*('WEEKLY INPUT'!P205/90)+(P205*0.15)*('WEEKLY INPUT'!P205/90)+Q205*0.25)</f>
        <v/>
      </c>
      <c r="U205" s="5">
        <f>IF($A205="","",$T205*(1+($3-'WEEKLY INPUT'!R205)*0.10)*$R205*$S205*1.0)</f>
        <v/>
      </c>
      <c r="V205" s="5">
        <f>IF($A205="","",$T205*(1+($3-'WEEKLY INPUT'!S205)*0.10)*$R205*$S205*0.975)</f>
        <v/>
      </c>
      <c r="W205" s="5">
        <f>IF($A205="","",$T205*(1+($3-'WEEKLY INPUT'!T205)*0.10)*$R205*$S205*0.95)</f>
        <v/>
      </c>
      <c r="X205" s="5">
        <f>IF($A205="","",$T205*(1+($3-'WEEKLY INPUT'!U205)*0.10)*$R205*$S205*0.925)</f>
        <v/>
      </c>
      <c r="Y205" s="5">
        <f>IF($A205="","",$T205*(1+($3-'WEEKLY INPUT'!V205)*0.10)*$R205*$S205*0.9)</f>
        <v/>
      </c>
      <c r="Z205" s="5">
        <f>IF($A205="","",$T205*(1+($3-'WEEKLY INPUT'!W205)*0.10)*$R205*$S205*0.875)</f>
        <v/>
      </c>
      <c r="AA205" s="5">
        <f>IF($A205="","",$T205*(1+($3-'WEEKLY INPUT'!X205)*0.10)*$R205*$S205*0.85)</f>
        <v/>
      </c>
      <c r="AB205" s="5">
        <f>IF($A205="","",$T205*(1+($3-'WEEKLY INPUT'!Y205)*0.10)*$R205*$S205*0.825)</f>
        <v/>
      </c>
      <c r="AC205" s="5">
        <f>SUM(U205:AB205)</f>
        <v/>
      </c>
      <c r="AD205" s="5">
        <f>SUM(U205:Z205)</f>
        <v/>
      </c>
      <c r="AE205" s="5">
        <f>IFERROR(AD205/D205,0)</f>
        <v/>
      </c>
      <c r="AF205" s="5">
        <f>MAX(0,1-R205)</f>
        <v/>
      </c>
      <c r="AG205" s="5">
        <f>IFERROR((H205+I205)*R205*(1+0.10*(3-'WEEKLY INPUT'!R205)),"")</f>
        <v/>
      </c>
      <c r="AH205" s="5">
        <f>IFERROR(AG205/SUMPRODUCT($AG$6:$AG$205),"")</f>
        <v/>
      </c>
      <c r="AI205" s="5">
        <f>IFERROR(AD205*(1-AF205*0.5)*(1+0.15*AE205),0)</f>
        <v/>
      </c>
      <c r="AJ205" s="5">
        <f>IF(A205="","",RANK(AI205,$AI$6:$AI$205,0))</f>
        <v/>
      </c>
      <c r="AK205" s="5">
        <f>IFERROR('WEEKLY INPUT'!Z205,"")</f>
        <v/>
      </c>
    </row>
  </sheetData>
  <mergeCells count="2">
    <mergeCell ref="A1:AK1"/>
    <mergeCell ref="B3:AK3"/>
  </mergeCells>
  <conditionalFormatting sqref="AI6:AI20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6:AF205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15" customWidth="1" min="14" max="14"/>
    <col width="15" customWidth="1" min="15" max="15"/>
    <col width="21" customWidth="1" min="16" max="16"/>
    <col width="38" customWidth="1" min="17" max="17"/>
    <col width="38" customWidth="1" min="18" max="18"/>
    <col width="38" customWidth="1" min="19" max="19"/>
  </cols>
  <sheetData>
    <row r="1">
      <c r="A1" s="27" t="inlineStr">
        <is>
          <t>8-Gameweek Projection Board</t>
        </is>
      </c>
    </row>
    <row r="2">
      <c r="A2" s="29" t="inlineStr">
        <is>
          <t>Formula-driven decision support — not an official FPL prediction.</t>
        </is>
      </c>
    </row>
    <row r="3">
      <c r="A3" s="2" t="inlineStr">
        <is>
          <t>Ranking logic</t>
        </is>
      </c>
      <c r="B3" s="2" t="inlineStr">
        <is>
          <t>Players are ranked by 8GW xP, with a separate 6GW value metric. Use the board to spot medium-term moves rather than chasing one fixture.</t>
        </is>
      </c>
    </row>
    <row r="5">
      <c r="A5" s="19" t="inlineStr">
        <is>
          <t>Rank</t>
        </is>
      </c>
      <c r="B5" s="19" t="inlineStr">
        <is>
          <t>Player</t>
        </is>
      </c>
      <c r="C5" s="19" t="inlineStr">
        <is>
          <t>Club</t>
        </is>
      </c>
      <c r="D5" s="19" t="inlineStr">
        <is>
          <t>Pos</t>
        </is>
      </c>
      <c r="E5" s="19" t="inlineStr">
        <is>
          <t>Price</t>
        </is>
      </c>
      <c r="F5" s="19" t="inlineStr">
        <is>
          <t>GW1</t>
        </is>
      </c>
      <c r="G5" s="19" t="inlineStr">
        <is>
          <t>GW2</t>
        </is>
      </c>
      <c r="H5" s="19" t="inlineStr">
        <is>
          <t>GW3</t>
        </is>
      </c>
      <c r="I5" s="19" t="inlineStr">
        <is>
          <t>GW4</t>
        </is>
      </c>
      <c r="J5" s="19" t="inlineStr">
        <is>
          <t>GW5</t>
        </is>
      </c>
      <c r="K5" s="19" t="inlineStr">
        <is>
          <t>GW6</t>
        </is>
      </c>
      <c r="L5" s="19" t="inlineStr">
        <is>
          <t>GW7</t>
        </is>
      </c>
      <c r="M5" s="19" t="inlineStr">
        <is>
          <t>GW8</t>
        </is>
      </c>
      <c r="N5" s="19" t="inlineStr">
        <is>
          <t>8GW xP</t>
        </is>
      </c>
      <c r="O5" s="19" t="inlineStr">
        <is>
          <t>6GW xP</t>
        </is>
      </c>
      <c r="P5" s="19" t="inlineStr">
        <is>
          <t>xP/£m</t>
        </is>
      </c>
      <c r="Q5" s="19" t="inlineStr">
        <is>
          <t>Minutes risk</t>
        </is>
      </c>
      <c r="R5" s="19" t="inlineStr">
        <is>
          <t>Captain prob</t>
        </is>
      </c>
      <c r="S5" s="19" t="inlineStr">
        <is>
          <t>Decision Score</t>
        </is>
      </c>
    </row>
    <row r="6">
      <c r="A6" s="5" t="n">
        <v>1</v>
      </c>
      <c r="B6" s="5">
        <f>IFERROR(INDEX('PLAYER MODEL'!$A$6:$A$205,MATCH(LARGE('PLAYER MODEL'!$AC$6:$AC$205,$A6),'PLAYER MODEL'!$AC$6:$AC$205,0)),"")</f>
        <v/>
      </c>
      <c r="C6" s="5">
        <f>IFERROR(XLOOKUP(B6,'PLAYER MODEL'!A:A,'PLAYER MODEL'!B:B),"")</f>
        <v/>
      </c>
      <c r="D6" s="5">
        <f>IFERROR(XLOOKUP(B6,'PLAYER MODEL'!A:A,'PLAYER MODEL'!C:C),"")</f>
        <v/>
      </c>
      <c r="E6" s="5">
        <f>IFERROR(XLOOKUP(B6,'PLAYER MODEL'!A:A,'PLAYER MODEL'!D:D),0)</f>
        <v/>
      </c>
      <c r="F6" s="5">
        <f>IFERROR(XLOOKUP($B6,'PLAYER MODEL'!$A:$A,'PLAYER MODEL'!$U:$U),0)</f>
        <v/>
      </c>
      <c r="G6" s="5">
        <f>IFERROR(XLOOKUP($B6,'PLAYER MODEL'!$A:$A,'PLAYER MODEL'!$V:$V),0)</f>
        <v/>
      </c>
      <c r="H6" s="5">
        <f>IFERROR(XLOOKUP($B6,'PLAYER MODEL'!$A:$A,'PLAYER MODEL'!$W:$W),0)</f>
        <v/>
      </c>
      <c r="I6" s="5">
        <f>IFERROR(XLOOKUP($B6,'PLAYER MODEL'!$A:$A,'PLAYER MODEL'!$X:$X),0)</f>
        <v/>
      </c>
      <c r="J6" s="5">
        <f>IFERROR(XLOOKUP($B6,'PLAYER MODEL'!$A:$A,'PLAYER MODEL'!$Y:$Y),0)</f>
        <v/>
      </c>
      <c r="K6" s="5">
        <f>IFERROR(XLOOKUP($B6,'PLAYER MODEL'!$A:$A,'PLAYER MODEL'!$Z:$Z),0)</f>
        <v/>
      </c>
      <c r="L6" s="5">
        <f>IFERROR(XLOOKUP($B6,'PLAYER MODEL'!$A:$A,'PLAYER MODEL'!$AA:$AA),0)</f>
        <v/>
      </c>
      <c r="M6" s="5">
        <f>IFERROR(XLOOKUP($B6,'PLAYER MODEL'!$A:$A,'PLAYER MODEL'!$AB:$AB),0)</f>
        <v/>
      </c>
      <c r="N6" s="5">
        <f>SUM(F6:M6)</f>
        <v/>
      </c>
      <c r="O6" s="5">
        <f>SUM(F6:K6)</f>
        <v/>
      </c>
      <c r="P6" s="5">
        <f>IFERROR(O6/E6,0)</f>
        <v/>
      </c>
      <c r="Q6" s="5">
        <f>IFERROR(XLOOKUP(B6,'PLAYER MODEL'!A:A,'PLAYER MODEL'!AF:AF),0)</f>
        <v/>
      </c>
      <c r="R6" s="5">
        <f>IFERROR(XLOOKUP(B6,'PLAYER MODEL'!A:A,'PLAYER MODEL'!AH:AH),0)</f>
        <v/>
      </c>
      <c r="S6" s="5">
        <f>IFERROR(XLOOKUP(B6,'PLAYER MODEL'!A:A,'PLAYER MODEL'!AI:AI),0)</f>
        <v/>
      </c>
    </row>
    <row r="7">
      <c r="A7" s="5" t="n">
        <v>2</v>
      </c>
      <c r="B7" s="5">
        <f>IFERROR(INDEX('PLAYER MODEL'!$A$6:$A$205,MATCH(LARGE('PLAYER MODEL'!$AC$6:$AC$205,$A7),'PLAYER MODEL'!$AC$6:$AC$205,0)),"")</f>
        <v/>
      </c>
      <c r="C7" s="5">
        <f>IFERROR(XLOOKUP(B7,'PLAYER MODEL'!A:A,'PLAYER MODEL'!B:B),"")</f>
        <v/>
      </c>
      <c r="D7" s="5">
        <f>IFERROR(XLOOKUP(B7,'PLAYER MODEL'!A:A,'PLAYER MODEL'!C:C),"")</f>
        <v/>
      </c>
      <c r="E7" s="5">
        <f>IFERROR(XLOOKUP(B7,'PLAYER MODEL'!A:A,'PLAYER MODEL'!D:D),0)</f>
        <v/>
      </c>
      <c r="F7" s="5">
        <f>IFERROR(XLOOKUP($B7,'PLAYER MODEL'!$A:$A,'PLAYER MODEL'!$U:$U),0)</f>
        <v/>
      </c>
      <c r="G7" s="5">
        <f>IFERROR(XLOOKUP($B7,'PLAYER MODEL'!$A:$A,'PLAYER MODEL'!$V:$V),0)</f>
        <v/>
      </c>
      <c r="H7" s="5">
        <f>IFERROR(XLOOKUP($B7,'PLAYER MODEL'!$A:$A,'PLAYER MODEL'!$W:$W),0)</f>
        <v/>
      </c>
      <c r="I7" s="5">
        <f>IFERROR(XLOOKUP($B7,'PLAYER MODEL'!$A:$A,'PLAYER MODEL'!$X:$X),0)</f>
        <v/>
      </c>
      <c r="J7" s="5">
        <f>IFERROR(XLOOKUP($B7,'PLAYER MODEL'!$A:$A,'PLAYER MODEL'!$Y:$Y),0)</f>
        <v/>
      </c>
      <c r="K7" s="5">
        <f>IFERROR(XLOOKUP($B7,'PLAYER MODEL'!$A:$A,'PLAYER MODEL'!$Z:$Z),0)</f>
        <v/>
      </c>
      <c r="L7" s="5">
        <f>IFERROR(XLOOKUP($B7,'PLAYER MODEL'!$A:$A,'PLAYER MODEL'!$AA:$AA),0)</f>
        <v/>
      </c>
      <c r="M7" s="5">
        <f>IFERROR(XLOOKUP($B7,'PLAYER MODEL'!$A:$A,'PLAYER MODEL'!$AB:$AB),0)</f>
        <v/>
      </c>
      <c r="N7" s="5">
        <f>SUM(F7:M7)</f>
        <v/>
      </c>
      <c r="O7" s="5">
        <f>SUM(F7:K7)</f>
        <v/>
      </c>
      <c r="P7" s="5">
        <f>IFERROR(O7/E7,0)</f>
        <v/>
      </c>
      <c r="Q7" s="5">
        <f>IFERROR(XLOOKUP(B7,'PLAYER MODEL'!A:A,'PLAYER MODEL'!AF:AF),0)</f>
        <v/>
      </c>
      <c r="R7" s="5">
        <f>IFERROR(XLOOKUP(B7,'PLAYER MODEL'!A:A,'PLAYER MODEL'!AH:AH),0)</f>
        <v/>
      </c>
      <c r="S7" s="5">
        <f>IFERROR(XLOOKUP(B7,'PLAYER MODEL'!A:A,'PLAYER MODEL'!AI:AI),0)</f>
        <v/>
      </c>
    </row>
    <row r="8">
      <c r="A8" s="5" t="n">
        <v>3</v>
      </c>
      <c r="B8" s="5">
        <f>IFERROR(INDEX('PLAYER MODEL'!$A$6:$A$205,MATCH(LARGE('PLAYER MODEL'!$AC$6:$AC$205,$A8),'PLAYER MODEL'!$AC$6:$AC$205,0)),"")</f>
        <v/>
      </c>
      <c r="C8" s="5">
        <f>IFERROR(XLOOKUP(B8,'PLAYER MODEL'!A:A,'PLAYER MODEL'!B:B),"")</f>
        <v/>
      </c>
      <c r="D8" s="5">
        <f>IFERROR(XLOOKUP(B8,'PLAYER MODEL'!A:A,'PLAYER MODEL'!C:C),"")</f>
        <v/>
      </c>
      <c r="E8" s="5">
        <f>IFERROR(XLOOKUP(B8,'PLAYER MODEL'!A:A,'PLAYER MODEL'!D:D),0)</f>
        <v/>
      </c>
      <c r="F8" s="5">
        <f>IFERROR(XLOOKUP($B8,'PLAYER MODEL'!$A:$A,'PLAYER MODEL'!$U:$U),0)</f>
        <v/>
      </c>
      <c r="G8" s="5">
        <f>IFERROR(XLOOKUP($B8,'PLAYER MODEL'!$A:$A,'PLAYER MODEL'!$V:$V),0)</f>
        <v/>
      </c>
      <c r="H8" s="5">
        <f>IFERROR(XLOOKUP($B8,'PLAYER MODEL'!$A:$A,'PLAYER MODEL'!$W:$W),0)</f>
        <v/>
      </c>
      <c r="I8" s="5">
        <f>IFERROR(XLOOKUP($B8,'PLAYER MODEL'!$A:$A,'PLAYER MODEL'!$X:$X),0)</f>
        <v/>
      </c>
      <c r="J8" s="5">
        <f>IFERROR(XLOOKUP($B8,'PLAYER MODEL'!$A:$A,'PLAYER MODEL'!$Y:$Y),0)</f>
        <v/>
      </c>
      <c r="K8" s="5">
        <f>IFERROR(XLOOKUP($B8,'PLAYER MODEL'!$A:$A,'PLAYER MODEL'!$Z:$Z),0)</f>
        <v/>
      </c>
      <c r="L8" s="5">
        <f>IFERROR(XLOOKUP($B8,'PLAYER MODEL'!$A:$A,'PLAYER MODEL'!$AA:$AA),0)</f>
        <v/>
      </c>
      <c r="M8" s="5">
        <f>IFERROR(XLOOKUP($B8,'PLAYER MODEL'!$A:$A,'PLAYER MODEL'!$AB:$AB),0)</f>
        <v/>
      </c>
      <c r="N8" s="5">
        <f>SUM(F8:M8)</f>
        <v/>
      </c>
      <c r="O8" s="5">
        <f>SUM(F8:K8)</f>
        <v/>
      </c>
      <c r="P8" s="5">
        <f>IFERROR(O8/E8,0)</f>
        <v/>
      </c>
      <c r="Q8" s="5">
        <f>IFERROR(XLOOKUP(B8,'PLAYER MODEL'!A:A,'PLAYER MODEL'!AF:AF),0)</f>
        <v/>
      </c>
      <c r="R8" s="5">
        <f>IFERROR(XLOOKUP(B8,'PLAYER MODEL'!A:A,'PLAYER MODEL'!AH:AH),0)</f>
        <v/>
      </c>
      <c r="S8" s="5">
        <f>IFERROR(XLOOKUP(B8,'PLAYER MODEL'!A:A,'PLAYER MODEL'!AI:AI),0)</f>
        <v/>
      </c>
    </row>
    <row r="9">
      <c r="A9" s="5" t="n">
        <v>4</v>
      </c>
      <c r="B9" s="5">
        <f>IFERROR(INDEX('PLAYER MODEL'!$A$6:$A$205,MATCH(LARGE('PLAYER MODEL'!$AC$6:$AC$205,$A9),'PLAYER MODEL'!$AC$6:$AC$205,0)),"")</f>
        <v/>
      </c>
      <c r="C9" s="5">
        <f>IFERROR(XLOOKUP(B9,'PLAYER MODEL'!A:A,'PLAYER MODEL'!B:B),"")</f>
        <v/>
      </c>
      <c r="D9" s="5">
        <f>IFERROR(XLOOKUP(B9,'PLAYER MODEL'!A:A,'PLAYER MODEL'!C:C),"")</f>
        <v/>
      </c>
      <c r="E9" s="5">
        <f>IFERROR(XLOOKUP(B9,'PLAYER MODEL'!A:A,'PLAYER MODEL'!D:D),0)</f>
        <v/>
      </c>
      <c r="F9" s="5">
        <f>IFERROR(XLOOKUP($B9,'PLAYER MODEL'!$A:$A,'PLAYER MODEL'!$U:$U),0)</f>
        <v/>
      </c>
      <c r="G9" s="5">
        <f>IFERROR(XLOOKUP($B9,'PLAYER MODEL'!$A:$A,'PLAYER MODEL'!$V:$V),0)</f>
        <v/>
      </c>
      <c r="H9" s="5">
        <f>IFERROR(XLOOKUP($B9,'PLAYER MODEL'!$A:$A,'PLAYER MODEL'!$W:$W),0)</f>
        <v/>
      </c>
      <c r="I9" s="5">
        <f>IFERROR(XLOOKUP($B9,'PLAYER MODEL'!$A:$A,'PLAYER MODEL'!$X:$X),0)</f>
        <v/>
      </c>
      <c r="J9" s="5">
        <f>IFERROR(XLOOKUP($B9,'PLAYER MODEL'!$A:$A,'PLAYER MODEL'!$Y:$Y),0)</f>
        <v/>
      </c>
      <c r="K9" s="5">
        <f>IFERROR(XLOOKUP($B9,'PLAYER MODEL'!$A:$A,'PLAYER MODEL'!$Z:$Z),0)</f>
        <v/>
      </c>
      <c r="L9" s="5">
        <f>IFERROR(XLOOKUP($B9,'PLAYER MODEL'!$A:$A,'PLAYER MODEL'!$AA:$AA),0)</f>
        <v/>
      </c>
      <c r="M9" s="5">
        <f>IFERROR(XLOOKUP($B9,'PLAYER MODEL'!$A:$A,'PLAYER MODEL'!$AB:$AB),0)</f>
        <v/>
      </c>
      <c r="N9" s="5">
        <f>SUM(F9:M9)</f>
        <v/>
      </c>
      <c r="O9" s="5">
        <f>SUM(F9:K9)</f>
        <v/>
      </c>
      <c r="P9" s="5">
        <f>IFERROR(O9/E9,0)</f>
        <v/>
      </c>
      <c r="Q9" s="5">
        <f>IFERROR(XLOOKUP(B9,'PLAYER MODEL'!A:A,'PLAYER MODEL'!AF:AF),0)</f>
        <v/>
      </c>
      <c r="R9" s="5">
        <f>IFERROR(XLOOKUP(B9,'PLAYER MODEL'!A:A,'PLAYER MODEL'!AH:AH),0)</f>
        <v/>
      </c>
      <c r="S9" s="5">
        <f>IFERROR(XLOOKUP(B9,'PLAYER MODEL'!A:A,'PLAYER MODEL'!AI:AI),0)</f>
        <v/>
      </c>
    </row>
    <row r="10">
      <c r="A10" s="5" t="n">
        <v>5</v>
      </c>
      <c r="B10" s="5">
        <f>IFERROR(INDEX('PLAYER MODEL'!$A$6:$A$205,MATCH(LARGE('PLAYER MODEL'!$AC$6:$AC$205,$A10),'PLAYER MODEL'!$AC$6:$AC$205,0)),"")</f>
        <v/>
      </c>
      <c r="C10" s="5">
        <f>IFERROR(XLOOKUP(B10,'PLAYER MODEL'!A:A,'PLAYER MODEL'!B:B),"")</f>
        <v/>
      </c>
      <c r="D10" s="5">
        <f>IFERROR(XLOOKUP(B10,'PLAYER MODEL'!A:A,'PLAYER MODEL'!C:C),"")</f>
        <v/>
      </c>
      <c r="E10" s="5">
        <f>IFERROR(XLOOKUP(B10,'PLAYER MODEL'!A:A,'PLAYER MODEL'!D:D),0)</f>
        <v/>
      </c>
      <c r="F10" s="5">
        <f>IFERROR(XLOOKUP($B10,'PLAYER MODEL'!$A:$A,'PLAYER MODEL'!$U:$U),0)</f>
        <v/>
      </c>
      <c r="G10" s="5">
        <f>IFERROR(XLOOKUP($B10,'PLAYER MODEL'!$A:$A,'PLAYER MODEL'!$V:$V),0)</f>
        <v/>
      </c>
      <c r="H10" s="5">
        <f>IFERROR(XLOOKUP($B10,'PLAYER MODEL'!$A:$A,'PLAYER MODEL'!$W:$W),0)</f>
        <v/>
      </c>
      <c r="I10" s="5">
        <f>IFERROR(XLOOKUP($B10,'PLAYER MODEL'!$A:$A,'PLAYER MODEL'!$X:$X),0)</f>
        <v/>
      </c>
      <c r="J10" s="5">
        <f>IFERROR(XLOOKUP($B10,'PLAYER MODEL'!$A:$A,'PLAYER MODEL'!$Y:$Y),0)</f>
        <v/>
      </c>
      <c r="K10" s="5">
        <f>IFERROR(XLOOKUP($B10,'PLAYER MODEL'!$A:$A,'PLAYER MODEL'!$Z:$Z),0)</f>
        <v/>
      </c>
      <c r="L10" s="5">
        <f>IFERROR(XLOOKUP($B10,'PLAYER MODEL'!$A:$A,'PLAYER MODEL'!$AA:$AA),0)</f>
        <v/>
      </c>
      <c r="M10" s="5">
        <f>IFERROR(XLOOKUP($B10,'PLAYER MODEL'!$A:$A,'PLAYER MODEL'!$AB:$AB),0)</f>
        <v/>
      </c>
      <c r="N10" s="5">
        <f>SUM(F10:M10)</f>
        <v/>
      </c>
      <c r="O10" s="5">
        <f>SUM(F10:K10)</f>
        <v/>
      </c>
      <c r="P10" s="5">
        <f>IFERROR(O10/E10,0)</f>
        <v/>
      </c>
      <c r="Q10" s="5">
        <f>IFERROR(XLOOKUP(B10,'PLAYER MODEL'!A:A,'PLAYER MODEL'!AF:AF),0)</f>
        <v/>
      </c>
      <c r="R10" s="5">
        <f>IFERROR(XLOOKUP(B10,'PLAYER MODEL'!A:A,'PLAYER MODEL'!AH:AH),0)</f>
        <v/>
      </c>
      <c r="S10" s="5">
        <f>IFERROR(XLOOKUP(B10,'PLAYER MODEL'!A:A,'PLAYER MODEL'!AI:AI),0)</f>
        <v/>
      </c>
    </row>
    <row r="11">
      <c r="A11" s="5" t="n">
        <v>6</v>
      </c>
      <c r="B11" s="5">
        <f>IFERROR(INDEX('PLAYER MODEL'!$A$6:$A$205,MATCH(LARGE('PLAYER MODEL'!$AC$6:$AC$205,$A11),'PLAYER MODEL'!$AC$6:$AC$205,0)),"")</f>
        <v/>
      </c>
      <c r="C11" s="5">
        <f>IFERROR(XLOOKUP(B11,'PLAYER MODEL'!A:A,'PLAYER MODEL'!B:B),"")</f>
        <v/>
      </c>
      <c r="D11" s="5">
        <f>IFERROR(XLOOKUP(B11,'PLAYER MODEL'!A:A,'PLAYER MODEL'!C:C),"")</f>
        <v/>
      </c>
      <c r="E11" s="5">
        <f>IFERROR(XLOOKUP(B11,'PLAYER MODEL'!A:A,'PLAYER MODEL'!D:D),0)</f>
        <v/>
      </c>
      <c r="F11" s="5">
        <f>IFERROR(XLOOKUP($B11,'PLAYER MODEL'!$A:$A,'PLAYER MODEL'!$U:$U),0)</f>
        <v/>
      </c>
      <c r="G11" s="5">
        <f>IFERROR(XLOOKUP($B11,'PLAYER MODEL'!$A:$A,'PLAYER MODEL'!$V:$V),0)</f>
        <v/>
      </c>
      <c r="H11" s="5">
        <f>IFERROR(XLOOKUP($B11,'PLAYER MODEL'!$A:$A,'PLAYER MODEL'!$W:$W),0)</f>
        <v/>
      </c>
      <c r="I11" s="5">
        <f>IFERROR(XLOOKUP($B11,'PLAYER MODEL'!$A:$A,'PLAYER MODEL'!$X:$X),0)</f>
        <v/>
      </c>
      <c r="J11" s="5">
        <f>IFERROR(XLOOKUP($B11,'PLAYER MODEL'!$A:$A,'PLAYER MODEL'!$Y:$Y),0)</f>
        <v/>
      </c>
      <c r="K11" s="5">
        <f>IFERROR(XLOOKUP($B11,'PLAYER MODEL'!$A:$A,'PLAYER MODEL'!$Z:$Z),0)</f>
        <v/>
      </c>
      <c r="L11" s="5">
        <f>IFERROR(XLOOKUP($B11,'PLAYER MODEL'!$A:$A,'PLAYER MODEL'!$AA:$AA),0)</f>
        <v/>
      </c>
      <c r="M11" s="5">
        <f>IFERROR(XLOOKUP($B11,'PLAYER MODEL'!$A:$A,'PLAYER MODEL'!$AB:$AB),0)</f>
        <v/>
      </c>
      <c r="N11" s="5">
        <f>SUM(F11:M11)</f>
        <v/>
      </c>
      <c r="O11" s="5">
        <f>SUM(F11:K11)</f>
        <v/>
      </c>
      <c r="P11" s="5">
        <f>IFERROR(O11/E11,0)</f>
        <v/>
      </c>
      <c r="Q11" s="5">
        <f>IFERROR(XLOOKUP(B11,'PLAYER MODEL'!A:A,'PLAYER MODEL'!AF:AF),0)</f>
        <v/>
      </c>
      <c r="R11" s="5">
        <f>IFERROR(XLOOKUP(B11,'PLAYER MODEL'!A:A,'PLAYER MODEL'!AH:AH),0)</f>
        <v/>
      </c>
      <c r="S11" s="5">
        <f>IFERROR(XLOOKUP(B11,'PLAYER MODEL'!A:A,'PLAYER MODEL'!AI:AI),0)</f>
        <v/>
      </c>
    </row>
    <row r="12">
      <c r="A12" s="5" t="n">
        <v>7</v>
      </c>
      <c r="B12" s="5">
        <f>IFERROR(INDEX('PLAYER MODEL'!$A$6:$A$205,MATCH(LARGE('PLAYER MODEL'!$AC$6:$AC$205,$A12),'PLAYER MODEL'!$AC$6:$AC$205,0)),"")</f>
        <v/>
      </c>
      <c r="C12" s="5">
        <f>IFERROR(XLOOKUP(B12,'PLAYER MODEL'!A:A,'PLAYER MODEL'!B:B),"")</f>
        <v/>
      </c>
      <c r="D12" s="5">
        <f>IFERROR(XLOOKUP(B12,'PLAYER MODEL'!A:A,'PLAYER MODEL'!C:C),"")</f>
        <v/>
      </c>
      <c r="E12" s="5">
        <f>IFERROR(XLOOKUP(B12,'PLAYER MODEL'!A:A,'PLAYER MODEL'!D:D),0)</f>
        <v/>
      </c>
      <c r="F12" s="5">
        <f>IFERROR(XLOOKUP($B12,'PLAYER MODEL'!$A:$A,'PLAYER MODEL'!$U:$U),0)</f>
        <v/>
      </c>
      <c r="G12" s="5">
        <f>IFERROR(XLOOKUP($B12,'PLAYER MODEL'!$A:$A,'PLAYER MODEL'!$V:$V),0)</f>
        <v/>
      </c>
      <c r="H12" s="5">
        <f>IFERROR(XLOOKUP($B12,'PLAYER MODEL'!$A:$A,'PLAYER MODEL'!$W:$W),0)</f>
        <v/>
      </c>
      <c r="I12" s="5">
        <f>IFERROR(XLOOKUP($B12,'PLAYER MODEL'!$A:$A,'PLAYER MODEL'!$X:$X),0)</f>
        <v/>
      </c>
      <c r="J12" s="5">
        <f>IFERROR(XLOOKUP($B12,'PLAYER MODEL'!$A:$A,'PLAYER MODEL'!$Y:$Y),0)</f>
        <v/>
      </c>
      <c r="K12" s="5">
        <f>IFERROR(XLOOKUP($B12,'PLAYER MODEL'!$A:$A,'PLAYER MODEL'!$Z:$Z),0)</f>
        <v/>
      </c>
      <c r="L12" s="5">
        <f>IFERROR(XLOOKUP($B12,'PLAYER MODEL'!$A:$A,'PLAYER MODEL'!$AA:$AA),0)</f>
        <v/>
      </c>
      <c r="M12" s="5">
        <f>IFERROR(XLOOKUP($B12,'PLAYER MODEL'!$A:$A,'PLAYER MODEL'!$AB:$AB),0)</f>
        <v/>
      </c>
      <c r="N12" s="5">
        <f>SUM(F12:M12)</f>
        <v/>
      </c>
      <c r="O12" s="5">
        <f>SUM(F12:K12)</f>
        <v/>
      </c>
      <c r="P12" s="5">
        <f>IFERROR(O12/E12,0)</f>
        <v/>
      </c>
      <c r="Q12" s="5">
        <f>IFERROR(XLOOKUP(B12,'PLAYER MODEL'!A:A,'PLAYER MODEL'!AF:AF),0)</f>
        <v/>
      </c>
      <c r="R12" s="5">
        <f>IFERROR(XLOOKUP(B12,'PLAYER MODEL'!A:A,'PLAYER MODEL'!AH:AH),0)</f>
        <v/>
      </c>
      <c r="S12" s="5">
        <f>IFERROR(XLOOKUP(B12,'PLAYER MODEL'!A:A,'PLAYER MODEL'!AI:AI),0)</f>
        <v/>
      </c>
    </row>
    <row r="13">
      <c r="A13" s="5" t="n">
        <v>8</v>
      </c>
      <c r="B13" s="5">
        <f>IFERROR(INDEX('PLAYER MODEL'!$A$6:$A$205,MATCH(LARGE('PLAYER MODEL'!$AC$6:$AC$205,$A13),'PLAYER MODEL'!$AC$6:$AC$205,0)),"")</f>
        <v/>
      </c>
      <c r="C13" s="5">
        <f>IFERROR(XLOOKUP(B13,'PLAYER MODEL'!A:A,'PLAYER MODEL'!B:B),"")</f>
        <v/>
      </c>
      <c r="D13" s="5">
        <f>IFERROR(XLOOKUP(B13,'PLAYER MODEL'!A:A,'PLAYER MODEL'!C:C),"")</f>
        <v/>
      </c>
      <c r="E13" s="5">
        <f>IFERROR(XLOOKUP(B13,'PLAYER MODEL'!A:A,'PLAYER MODEL'!D:D),0)</f>
        <v/>
      </c>
      <c r="F13" s="5">
        <f>IFERROR(XLOOKUP($B13,'PLAYER MODEL'!$A:$A,'PLAYER MODEL'!$U:$U),0)</f>
        <v/>
      </c>
      <c r="G13" s="5">
        <f>IFERROR(XLOOKUP($B13,'PLAYER MODEL'!$A:$A,'PLAYER MODEL'!$V:$V),0)</f>
        <v/>
      </c>
      <c r="H13" s="5">
        <f>IFERROR(XLOOKUP($B13,'PLAYER MODEL'!$A:$A,'PLAYER MODEL'!$W:$W),0)</f>
        <v/>
      </c>
      <c r="I13" s="5">
        <f>IFERROR(XLOOKUP($B13,'PLAYER MODEL'!$A:$A,'PLAYER MODEL'!$X:$X),0)</f>
        <v/>
      </c>
      <c r="J13" s="5">
        <f>IFERROR(XLOOKUP($B13,'PLAYER MODEL'!$A:$A,'PLAYER MODEL'!$Y:$Y),0)</f>
        <v/>
      </c>
      <c r="K13" s="5">
        <f>IFERROR(XLOOKUP($B13,'PLAYER MODEL'!$A:$A,'PLAYER MODEL'!$Z:$Z),0)</f>
        <v/>
      </c>
      <c r="L13" s="5">
        <f>IFERROR(XLOOKUP($B13,'PLAYER MODEL'!$A:$A,'PLAYER MODEL'!$AA:$AA),0)</f>
        <v/>
      </c>
      <c r="M13" s="5">
        <f>IFERROR(XLOOKUP($B13,'PLAYER MODEL'!$A:$A,'PLAYER MODEL'!$AB:$AB),0)</f>
        <v/>
      </c>
      <c r="N13" s="5">
        <f>SUM(F13:M13)</f>
        <v/>
      </c>
      <c r="O13" s="5">
        <f>SUM(F13:K13)</f>
        <v/>
      </c>
      <c r="P13" s="5">
        <f>IFERROR(O13/E13,0)</f>
        <v/>
      </c>
      <c r="Q13" s="5">
        <f>IFERROR(XLOOKUP(B13,'PLAYER MODEL'!A:A,'PLAYER MODEL'!AF:AF),0)</f>
        <v/>
      </c>
      <c r="R13" s="5">
        <f>IFERROR(XLOOKUP(B13,'PLAYER MODEL'!A:A,'PLAYER MODEL'!AH:AH),0)</f>
        <v/>
      </c>
      <c r="S13" s="5">
        <f>IFERROR(XLOOKUP(B13,'PLAYER MODEL'!A:A,'PLAYER MODEL'!AI:AI),0)</f>
        <v/>
      </c>
    </row>
    <row r="14">
      <c r="A14" s="5" t="n">
        <v>9</v>
      </c>
      <c r="B14" s="5">
        <f>IFERROR(INDEX('PLAYER MODEL'!$A$6:$A$205,MATCH(LARGE('PLAYER MODEL'!$AC$6:$AC$205,$A14),'PLAYER MODEL'!$AC$6:$AC$205,0)),"")</f>
        <v/>
      </c>
      <c r="C14" s="5">
        <f>IFERROR(XLOOKUP(B14,'PLAYER MODEL'!A:A,'PLAYER MODEL'!B:B),"")</f>
        <v/>
      </c>
      <c r="D14" s="5">
        <f>IFERROR(XLOOKUP(B14,'PLAYER MODEL'!A:A,'PLAYER MODEL'!C:C),"")</f>
        <v/>
      </c>
      <c r="E14" s="5">
        <f>IFERROR(XLOOKUP(B14,'PLAYER MODEL'!A:A,'PLAYER MODEL'!D:D),0)</f>
        <v/>
      </c>
      <c r="F14" s="5">
        <f>IFERROR(XLOOKUP($B14,'PLAYER MODEL'!$A:$A,'PLAYER MODEL'!$U:$U),0)</f>
        <v/>
      </c>
      <c r="G14" s="5">
        <f>IFERROR(XLOOKUP($B14,'PLAYER MODEL'!$A:$A,'PLAYER MODEL'!$V:$V),0)</f>
        <v/>
      </c>
      <c r="H14" s="5">
        <f>IFERROR(XLOOKUP($B14,'PLAYER MODEL'!$A:$A,'PLAYER MODEL'!$W:$W),0)</f>
        <v/>
      </c>
      <c r="I14" s="5">
        <f>IFERROR(XLOOKUP($B14,'PLAYER MODEL'!$A:$A,'PLAYER MODEL'!$X:$X),0)</f>
        <v/>
      </c>
      <c r="J14" s="5">
        <f>IFERROR(XLOOKUP($B14,'PLAYER MODEL'!$A:$A,'PLAYER MODEL'!$Y:$Y),0)</f>
        <v/>
      </c>
      <c r="K14" s="5">
        <f>IFERROR(XLOOKUP($B14,'PLAYER MODEL'!$A:$A,'PLAYER MODEL'!$Z:$Z),0)</f>
        <v/>
      </c>
      <c r="L14" s="5">
        <f>IFERROR(XLOOKUP($B14,'PLAYER MODEL'!$A:$A,'PLAYER MODEL'!$AA:$AA),0)</f>
        <v/>
      </c>
      <c r="M14" s="5">
        <f>IFERROR(XLOOKUP($B14,'PLAYER MODEL'!$A:$A,'PLAYER MODEL'!$AB:$AB),0)</f>
        <v/>
      </c>
      <c r="N14" s="5">
        <f>SUM(F14:M14)</f>
        <v/>
      </c>
      <c r="O14" s="5">
        <f>SUM(F14:K14)</f>
        <v/>
      </c>
      <c r="P14" s="5">
        <f>IFERROR(O14/E14,0)</f>
        <v/>
      </c>
      <c r="Q14" s="5">
        <f>IFERROR(XLOOKUP(B14,'PLAYER MODEL'!A:A,'PLAYER MODEL'!AF:AF),0)</f>
        <v/>
      </c>
      <c r="R14" s="5">
        <f>IFERROR(XLOOKUP(B14,'PLAYER MODEL'!A:A,'PLAYER MODEL'!AH:AH),0)</f>
        <v/>
      </c>
      <c r="S14" s="5">
        <f>IFERROR(XLOOKUP(B14,'PLAYER MODEL'!A:A,'PLAYER MODEL'!AI:AI),0)</f>
        <v/>
      </c>
    </row>
    <row r="15">
      <c r="A15" s="5" t="n">
        <v>10</v>
      </c>
      <c r="B15" s="5">
        <f>IFERROR(INDEX('PLAYER MODEL'!$A$6:$A$205,MATCH(LARGE('PLAYER MODEL'!$AC$6:$AC$205,$A15),'PLAYER MODEL'!$AC$6:$AC$205,0)),"")</f>
        <v/>
      </c>
      <c r="C15" s="5">
        <f>IFERROR(XLOOKUP(B15,'PLAYER MODEL'!A:A,'PLAYER MODEL'!B:B),"")</f>
        <v/>
      </c>
      <c r="D15" s="5">
        <f>IFERROR(XLOOKUP(B15,'PLAYER MODEL'!A:A,'PLAYER MODEL'!C:C),"")</f>
        <v/>
      </c>
      <c r="E15" s="5">
        <f>IFERROR(XLOOKUP(B15,'PLAYER MODEL'!A:A,'PLAYER MODEL'!D:D),0)</f>
        <v/>
      </c>
      <c r="F15" s="5">
        <f>IFERROR(XLOOKUP($B15,'PLAYER MODEL'!$A:$A,'PLAYER MODEL'!$U:$U),0)</f>
        <v/>
      </c>
      <c r="G15" s="5">
        <f>IFERROR(XLOOKUP($B15,'PLAYER MODEL'!$A:$A,'PLAYER MODEL'!$V:$V),0)</f>
        <v/>
      </c>
      <c r="H15" s="5">
        <f>IFERROR(XLOOKUP($B15,'PLAYER MODEL'!$A:$A,'PLAYER MODEL'!$W:$W),0)</f>
        <v/>
      </c>
      <c r="I15" s="5">
        <f>IFERROR(XLOOKUP($B15,'PLAYER MODEL'!$A:$A,'PLAYER MODEL'!$X:$X),0)</f>
        <v/>
      </c>
      <c r="J15" s="5">
        <f>IFERROR(XLOOKUP($B15,'PLAYER MODEL'!$A:$A,'PLAYER MODEL'!$Y:$Y),0)</f>
        <v/>
      </c>
      <c r="K15" s="5">
        <f>IFERROR(XLOOKUP($B15,'PLAYER MODEL'!$A:$A,'PLAYER MODEL'!$Z:$Z),0)</f>
        <v/>
      </c>
      <c r="L15" s="5">
        <f>IFERROR(XLOOKUP($B15,'PLAYER MODEL'!$A:$A,'PLAYER MODEL'!$AA:$AA),0)</f>
        <v/>
      </c>
      <c r="M15" s="5">
        <f>IFERROR(XLOOKUP($B15,'PLAYER MODEL'!$A:$A,'PLAYER MODEL'!$AB:$AB),0)</f>
        <v/>
      </c>
      <c r="N15" s="5">
        <f>SUM(F15:M15)</f>
        <v/>
      </c>
      <c r="O15" s="5">
        <f>SUM(F15:K15)</f>
        <v/>
      </c>
      <c r="P15" s="5">
        <f>IFERROR(O15/E15,0)</f>
        <v/>
      </c>
      <c r="Q15" s="5">
        <f>IFERROR(XLOOKUP(B15,'PLAYER MODEL'!A:A,'PLAYER MODEL'!AF:AF),0)</f>
        <v/>
      </c>
      <c r="R15" s="5">
        <f>IFERROR(XLOOKUP(B15,'PLAYER MODEL'!A:A,'PLAYER MODEL'!AH:AH),0)</f>
        <v/>
      </c>
      <c r="S15" s="5">
        <f>IFERROR(XLOOKUP(B15,'PLAYER MODEL'!A:A,'PLAYER MODEL'!AI:AI),0)</f>
        <v/>
      </c>
    </row>
    <row r="16">
      <c r="A16" s="5" t="n">
        <v>11</v>
      </c>
      <c r="B16" s="5">
        <f>IFERROR(INDEX('PLAYER MODEL'!$A$6:$A$205,MATCH(LARGE('PLAYER MODEL'!$AC$6:$AC$205,$A16),'PLAYER MODEL'!$AC$6:$AC$205,0)),"")</f>
        <v/>
      </c>
      <c r="C16" s="5">
        <f>IFERROR(XLOOKUP(B16,'PLAYER MODEL'!A:A,'PLAYER MODEL'!B:B),"")</f>
        <v/>
      </c>
      <c r="D16" s="5">
        <f>IFERROR(XLOOKUP(B16,'PLAYER MODEL'!A:A,'PLAYER MODEL'!C:C),"")</f>
        <v/>
      </c>
      <c r="E16" s="5">
        <f>IFERROR(XLOOKUP(B16,'PLAYER MODEL'!A:A,'PLAYER MODEL'!D:D),0)</f>
        <v/>
      </c>
      <c r="F16" s="5">
        <f>IFERROR(XLOOKUP($B16,'PLAYER MODEL'!$A:$A,'PLAYER MODEL'!$U:$U),0)</f>
        <v/>
      </c>
      <c r="G16" s="5">
        <f>IFERROR(XLOOKUP($B16,'PLAYER MODEL'!$A:$A,'PLAYER MODEL'!$V:$V),0)</f>
        <v/>
      </c>
      <c r="H16" s="5">
        <f>IFERROR(XLOOKUP($B16,'PLAYER MODEL'!$A:$A,'PLAYER MODEL'!$W:$W),0)</f>
        <v/>
      </c>
      <c r="I16" s="5">
        <f>IFERROR(XLOOKUP($B16,'PLAYER MODEL'!$A:$A,'PLAYER MODEL'!$X:$X),0)</f>
        <v/>
      </c>
      <c r="J16" s="5">
        <f>IFERROR(XLOOKUP($B16,'PLAYER MODEL'!$A:$A,'PLAYER MODEL'!$Y:$Y),0)</f>
        <v/>
      </c>
      <c r="K16" s="5">
        <f>IFERROR(XLOOKUP($B16,'PLAYER MODEL'!$A:$A,'PLAYER MODEL'!$Z:$Z),0)</f>
        <v/>
      </c>
      <c r="L16" s="5">
        <f>IFERROR(XLOOKUP($B16,'PLAYER MODEL'!$A:$A,'PLAYER MODEL'!$AA:$AA),0)</f>
        <v/>
      </c>
      <c r="M16" s="5">
        <f>IFERROR(XLOOKUP($B16,'PLAYER MODEL'!$A:$A,'PLAYER MODEL'!$AB:$AB),0)</f>
        <v/>
      </c>
      <c r="N16" s="5">
        <f>SUM(F16:M16)</f>
        <v/>
      </c>
      <c r="O16" s="5">
        <f>SUM(F16:K16)</f>
        <v/>
      </c>
      <c r="P16" s="5">
        <f>IFERROR(O16/E16,0)</f>
        <v/>
      </c>
      <c r="Q16" s="5">
        <f>IFERROR(XLOOKUP(B16,'PLAYER MODEL'!A:A,'PLAYER MODEL'!AF:AF),0)</f>
        <v/>
      </c>
      <c r="R16" s="5">
        <f>IFERROR(XLOOKUP(B16,'PLAYER MODEL'!A:A,'PLAYER MODEL'!AH:AH),0)</f>
        <v/>
      </c>
      <c r="S16" s="5">
        <f>IFERROR(XLOOKUP(B16,'PLAYER MODEL'!A:A,'PLAYER MODEL'!AI:AI),0)</f>
        <v/>
      </c>
    </row>
    <row r="17">
      <c r="A17" s="5" t="n">
        <v>12</v>
      </c>
      <c r="B17" s="5">
        <f>IFERROR(INDEX('PLAYER MODEL'!$A$6:$A$205,MATCH(LARGE('PLAYER MODEL'!$AC$6:$AC$205,$A17),'PLAYER MODEL'!$AC$6:$AC$205,0)),"")</f>
        <v/>
      </c>
      <c r="C17" s="5">
        <f>IFERROR(XLOOKUP(B17,'PLAYER MODEL'!A:A,'PLAYER MODEL'!B:B),"")</f>
        <v/>
      </c>
      <c r="D17" s="5">
        <f>IFERROR(XLOOKUP(B17,'PLAYER MODEL'!A:A,'PLAYER MODEL'!C:C),"")</f>
        <v/>
      </c>
      <c r="E17" s="5">
        <f>IFERROR(XLOOKUP(B17,'PLAYER MODEL'!A:A,'PLAYER MODEL'!D:D),0)</f>
        <v/>
      </c>
      <c r="F17" s="5">
        <f>IFERROR(XLOOKUP($B17,'PLAYER MODEL'!$A:$A,'PLAYER MODEL'!$U:$U),0)</f>
        <v/>
      </c>
      <c r="G17" s="5">
        <f>IFERROR(XLOOKUP($B17,'PLAYER MODEL'!$A:$A,'PLAYER MODEL'!$V:$V),0)</f>
        <v/>
      </c>
      <c r="H17" s="5">
        <f>IFERROR(XLOOKUP($B17,'PLAYER MODEL'!$A:$A,'PLAYER MODEL'!$W:$W),0)</f>
        <v/>
      </c>
      <c r="I17" s="5">
        <f>IFERROR(XLOOKUP($B17,'PLAYER MODEL'!$A:$A,'PLAYER MODEL'!$X:$X),0)</f>
        <v/>
      </c>
      <c r="J17" s="5">
        <f>IFERROR(XLOOKUP($B17,'PLAYER MODEL'!$A:$A,'PLAYER MODEL'!$Y:$Y),0)</f>
        <v/>
      </c>
      <c r="K17" s="5">
        <f>IFERROR(XLOOKUP($B17,'PLAYER MODEL'!$A:$A,'PLAYER MODEL'!$Z:$Z),0)</f>
        <v/>
      </c>
      <c r="L17" s="5">
        <f>IFERROR(XLOOKUP($B17,'PLAYER MODEL'!$A:$A,'PLAYER MODEL'!$AA:$AA),0)</f>
        <v/>
      </c>
      <c r="M17" s="5">
        <f>IFERROR(XLOOKUP($B17,'PLAYER MODEL'!$A:$A,'PLAYER MODEL'!$AB:$AB),0)</f>
        <v/>
      </c>
      <c r="N17" s="5">
        <f>SUM(F17:M17)</f>
        <v/>
      </c>
      <c r="O17" s="5">
        <f>SUM(F17:K17)</f>
        <v/>
      </c>
      <c r="P17" s="5">
        <f>IFERROR(O17/E17,0)</f>
        <v/>
      </c>
      <c r="Q17" s="5">
        <f>IFERROR(XLOOKUP(B17,'PLAYER MODEL'!A:A,'PLAYER MODEL'!AF:AF),0)</f>
        <v/>
      </c>
      <c r="R17" s="5">
        <f>IFERROR(XLOOKUP(B17,'PLAYER MODEL'!A:A,'PLAYER MODEL'!AH:AH),0)</f>
        <v/>
      </c>
      <c r="S17" s="5">
        <f>IFERROR(XLOOKUP(B17,'PLAYER MODEL'!A:A,'PLAYER MODEL'!AI:AI),0)</f>
        <v/>
      </c>
    </row>
    <row r="18">
      <c r="A18" s="5" t="n">
        <v>13</v>
      </c>
      <c r="B18" s="5">
        <f>IFERROR(INDEX('PLAYER MODEL'!$A$6:$A$205,MATCH(LARGE('PLAYER MODEL'!$AC$6:$AC$205,$A18),'PLAYER MODEL'!$AC$6:$AC$205,0)),"")</f>
        <v/>
      </c>
      <c r="C18" s="5">
        <f>IFERROR(XLOOKUP(B18,'PLAYER MODEL'!A:A,'PLAYER MODEL'!B:B),"")</f>
        <v/>
      </c>
      <c r="D18" s="5">
        <f>IFERROR(XLOOKUP(B18,'PLAYER MODEL'!A:A,'PLAYER MODEL'!C:C),"")</f>
        <v/>
      </c>
      <c r="E18" s="5">
        <f>IFERROR(XLOOKUP(B18,'PLAYER MODEL'!A:A,'PLAYER MODEL'!D:D),0)</f>
        <v/>
      </c>
      <c r="F18" s="5">
        <f>IFERROR(XLOOKUP($B18,'PLAYER MODEL'!$A:$A,'PLAYER MODEL'!$U:$U),0)</f>
        <v/>
      </c>
      <c r="G18" s="5">
        <f>IFERROR(XLOOKUP($B18,'PLAYER MODEL'!$A:$A,'PLAYER MODEL'!$V:$V),0)</f>
        <v/>
      </c>
      <c r="H18" s="5">
        <f>IFERROR(XLOOKUP($B18,'PLAYER MODEL'!$A:$A,'PLAYER MODEL'!$W:$W),0)</f>
        <v/>
      </c>
      <c r="I18" s="5">
        <f>IFERROR(XLOOKUP($B18,'PLAYER MODEL'!$A:$A,'PLAYER MODEL'!$X:$X),0)</f>
        <v/>
      </c>
      <c r="J18" s="5">
        <f>IFERROR(XLOOKUP($B18,'PLAYER MODEL'!$A:$A,'PLAYER MODEL'!$Y:$Y),0)</f>
        <v/>
      </c>
      <c r="K18" s="5">
        <f>IFERROR(XLOOKUP($B18,'PLAYER MODEL'!$A:$A,'PLAYER MODEL'!$Z:$Z),0)</f>
        <v/>
      </c>
      <c r="L18" s="5">
        <f>IFERROR(XLOOKUP($B18,'PLAYER MODEL'!$A:$A,'PLAYER MODEL'!$AA:$AA),0)</f>
        <v/>
      </c>
      <c r="M18" s="5">
        <f>IFERROR(XLOOKUP($B18,'PLAYER MODEL'!$A:$A,'PLAYER MODEL'!$AB:$AB),0)</f>
        <v/>
      </c>
      <c r="N18" s="5">
        <f>SUM(F18:M18)</f>
        <v/>
      </c>
      <c r="O18" s="5">
        <f>SUM(F18:K18)</f>
        <v/>
      </c>
      <c r="P18" s="5">
        <f>IFERROR(O18/E18,0)</f>
        <v/>
      </c>
      <c r="Q18" s="5">
        <f>IFERROR(XLOOKUP(B18,'PLAYER MODEL'!A:A,'PLAYER MODEL'!AF:AF),0)</f>
        <v/>
      </c>
      <c r="R18" s="5">
        <f>IFERROR(XLOOKUP(B18,'PLAYER MODEL'!A:A,'PLAYER MODEL'!AH:AH),0)</f>
        <v/>
      </c>
      <c r="S18" s="5">
        <f>IFERROR(XLOOKUP(B18,'PLAYER MODEL'!A:A,'PLAYER MODEL'!AI:AI),0)</f>
        <v/>
      </c>
    </row>
    <row r="19">
      <c r="A19" s="5" t="n">
        <v>14</v>
      </c>
      <c r="B19" s="5">
        <f>IFERROR(INDEX('PLAYER MODEL'!$A$6:$A$205,MATCH(LARGE('PLAYER MODEL'!$AC$6:$AC$205,$A19),'PLAYER MODEL'!$AC$6:$AC$205,0)),"")</f>
        <v/>
      </c>
      <c r="C19" s="5">
        <f>IFERROR(XLOOKUP(B19,'PLAYER MODEL'!A:A,'PLAYER MODEL'!B:B),"")</f>
        <v/>
      </c>
      <c r="D19" s="5">
        <f>IFERROR(XLOOKUP(B19,'PLAYER MODEL'!A:A,'PLAYER MODEL'!C:C),"")</f>
        <v/>
      </c>
      <c r="E19" s="5">
        <f>IFERROR(XLOOKUP(B19,'PLAYER MODEL'!A:A,'PLAYER MODEL'!D:D),0)</f>
        <v/>
      </c>
      <c r="F19" s="5">
        <f>IFERROR(XLOOKUP($B19,'PLAYER MODEL'!$A:$A,'PLAYER MODEL'!$U:$U),0)</f>
        <v/>
      </c>
      <c r="G19" s="5">
        <f>IFERROR(XLOOKUP($B19,'PLAYER MODEL'!$A:$A,'PLAYER MODEL'!$V:$V),0)</f>
        <v/>
      </c>
      <c r="H19" s="5">
        <f>IFERROR(XLOOKUP($B19,'PLAYER MODEL'!$A:$A,'PLAYER MODEL'!$W:$W),0)</f>
        <v/>
      </c>
      <c r="I19" s="5">
        <f>IFERROR(XLOOKUP($B19,'PLAYER MODEL'!$A:$A,'PLAYER MODEL'!$X:$X),0)</f>
        <v/>
      </c>
      <c r="J19" s="5">
        <f>IFERROR(XLOOKUP($B19,'PLAYER MODEL'!$A:$A,'PLAYER MODEL'!$Y:$Y),0)</f>
        <v/>
      </c>
      <c r="K19" s="5">
        <f>IFERROR(XLOOKUP($B19,'PLAYER MODEL'!$A:$A,'PLAYER MODEL'!$Z:$Z),0)</f>
        <v/>
      </c>
      <c r="L19" s="5">
        <f>IFERROR(XLOOKUP($B19,'PLAYER MODEL'!$A:$A,'PLAYER MODEL'!$AA:$AA),0)</f>
        <v/>
      </c>
      <c r="M19" s="5">
        <f>IFERROR(XLOOKUP($B19,'PLAYER MODEL'!$A:$A,'PLAYER MODEL'!$AB:$AB),0)</f>
        <v/>
      </c>
      <c r="N19" s="5">
        <f>SUM(F19:M19)</f>
        <v/>
      </c>
      <c r="O19" s="5">
        <f>SUM(F19:K19)</f>
        <v/>
      </c>
      <c r="P19" s="5">
        <f>IFERROR(O19/E19,0)</f>
        <v/>
      </c>
      <c r="Q19" s="5">
        <f>IFERROR(XLOOKUP(B19,'PLAYER MODEL'!A:A,'PLAYER MODEL'!AF:AF),0)</f>
        <v/>
      </c>
      <c r="R19" s="5">
        <f>IFERROR(XLOOKUP(B19,'PLAYER MODEL'!A:A,'PLAYER MODEL'!AH:AH),0)</f>
        <v/>
      </c>
      <c r="S19" s="5">
        <f>IFERROR(XLOOKUP(B19,'PLAYER MODEL'!A:A,'PLAYER MODEL'!AI:AI),0)</f>
        <v/>
      </c>
    </row>
    <row r="20">
      <c r="A20" s="5" t="n">
        <v>15</v>
      </c>
      <c r="B20" s="5">
        <f>IFERROR(INDEX('PLAYER MODEL'!$A$6:$A$205,MATCH(LARGE('PLAYER MODEL'!$AC$6:$AC$205,$A20),'PLAYER MODEL'!$AC$6:$AC$205,0)),"")</f>
        <v/>
      </c>
      <c r="C20" s="5">
        <f>IFERROR(XLOOKUP(B20,'PLAYER MODEL'!A:A,'PLAYER MODEL'!B:B),"")</f>
        <v/>
      </c>
      <c r="D20" s="5">
        <f>IFERROR(XLOOKUP(B20,'PLAYER MODEL'!A:A,'PLAYER MODEL'!C:C),"")</f>
        <v/>
      </c>
      <c r="E20" s="5">
        <f>IFERROR(XLOOKUP(B20,'PLAYER MODEL'!A:A,'PLAYER MODEL'!D:D),0)</f>
        <v/>
      </c>
      <c r="F20" s="5">
        <f>IFERROR(XLOOKUP($B20,'PLAYER MODEL'!$A:$A,'PLAYER MODEL'!$U:$U),0)</f>
        <v/>
      </c>
      <c r="G20" s="5">
        <f>IFERROR(XLOOKUP($B20,'PLAYER MODEL'!$A:$A,'PLAYER MODEL'!$V:$V),0)</f>
        <v/>
      </c>
      <c r="H20" s="5">
        <f>IFERROR(XLOOKUP($B20,'PLAYER MODEL'!$A:$A,'PLAYER MODEL'!$W:$W),0)</f>
        <v/>
      </c>
      <c r="I20" s="5">
        <f>IFERROR(XLOOKUP($B20,'PLAYER MODEL'!$A:$A,'PLAYER MODEL'!$X:$X),0)</f>
        <v/>
      </c>
      <c r="J20" s="5">
        <f>IFERROR(XLOOKUP($B20,'PLAYER MODEL'!$A:$A,'PLAYER MODEL'!$Y:$Y),0)</f>
        <v/>
      </c>
      <c r="K20" s="5">
        <f>IFERROR(XLOOKUP($B20,'PLAYER MODEL'!$A:$A,'PLAYER MODEL'!$Z:$Z),0)</f>
        <v/>
      </c>
      <c r="L20" s="5">
        <f>IFERROR(XLOOKUP($B20,'PLAYER MODEL'!$A:$A,'PLAYER MODEL'!$AA:$AA),0)</f>
        <v/>
      </c>
      <c r="M20" s="5">
        <f>IFERROR(XLOOKUP($B20,'PLAYER MODEL'!$A:$A,'PLAYER MODEL'!$AB:$AB),0)</f>
        <v/>
      </c>
      <c r="N20" s="5">
        <f>SUM(F20:M20)</f>
        <v/>
      </c>
      <c r="O20" s="5">
        <f>SUM(F20:K20)</f>
        <v/>
      </c>
      <c r="P20" s="5">
        <f>IFERROR(O20/E20,0)</f>
        <v/>
      </c>
      <c r="Q20" s="5">
        <f>IFERROR(XLOOKUP(B20,'PLAYER MODEL'!A:A,'PLAYER MODEL'!AF:AF),0)</f>
        <v/>
      </c>
      <c r="R20" s="5">
        <f>IFERROR(XLOOKUP(B20,'PLAYER MODEL'!A:A,'PLAYER MODEL'!AH:AH),0)</f>
        <v/>
      </c>
      <c r="S20" s="5">
        <f>IFERROR(XLOOKUP(B20,'PLAYER MODEL'!A:A,'PLAYER MODEL'!AI:AI),0)</f>
        <v/>
      </c>
    </row>
    <row r="21">
      <c r="A21" s="5" t="n">
        <v>16</v>
      </c>
      <c r="B21" s="5">
        <f>IFERROR(INDEX('PLAYER MODEL'!$A$6:$A$205,MATCH(LARGE('PLAYER MODEL'!$AC$6:$AC$205,$A21),'PLAYER MODEL'!$AC$6:$AC$205,0)),"")</f>
        <v/>
      </c>
      <c r="C21" s="5">
        <f>IFERROR(XLOOKUP(B21,'PLAYER MODEL'!A:A,'PLAYER MODEL'!B:B),"")</f>
        <v/>
      </c>
      <c r="D21" s="5">
        <f>IFERROR(XLOOKUP(B21,'PLAYER MODEL'!A:A,'PLAYER MODEL'!C:C),"")</f>
        <v/>
      </c>
      <c r="E21" s="5">
        <f>IFERROR(XLOOKUP(B21,'PLAYER MODEL'!A:A,'PLAYER MODEL'!D:D),0)</f>
        <v/>
      </c>
      <c r="F21" s="5">
        <f>IFERROR(XLOOKUP($B21,'PLAYER MODEL'!$A:$A,'PLAYER MODEL'!$U:$U),0)</f>
        <v/>
      </c>
      <c r="G21" s="5">
        <f>IFERROR(XLOOKUP($B21,'PLAYER MODEL'!$A:$A,'PLAYER MODEL'!$V:$V),0)</f>
        <v/>
      </c>
      <c r="H21" s="5">
        <f>IFERROR(XLOOKUP($B21,'PLAYER MODEL'!$A:$A,'PLAYER MODEL'!$W:$W),0)</f>
        <v/>
      </c>
      <c r="I21" s="5">
        <f>IFERROR(XLOOKUP($B21,'PLAYER MODEL'!$A:$A,'PLAYER MODEL'!$X:$X),0)</f>
        <v/>
      </c>
      <c r="J21" s="5">
        <f>IFERROR(XLOOKUP($B21,'PLAYER MODEL'!$A:$A,'PLAYER MODEL'!$Y:$Y),0)</f>
        <v/>
      </c>
      <c r="K21" s="5">
        <f>IFERROR(XLOOKUP($B21,'PLAYER MODEL'!$A:$A,'PLAYER MODEL'!$Z:$Z),0)</f>
        <v/>
      </c>
      <c r="L21" s="5">
        <f>IFERROR(XLOOKUP($B21,'PLAYER MODEL'!$A:$A,'PLAYER MODEL'!$AA:$AA),0)</f>
        <v/>
      </c>
      <c r="M21" s="5">
        <f>IFERROR(XLOOKUP($B21,'PLAYER MODEL'!$A:$A,'PLAYER MODEL'!$AB:$AB),0)</f>
        <v/>
      </c>
      <c r="N21" s="5">
        <f>SUM(F21:M21)</f>
        <v/>
      </c>
      <c r="O21" s="5">
        <f>SUM(F21:K21)</f>
        <v/>
      </c>
      <c r="P21" s="5">
        <f>IFERROR(O21/E21,0)</f>
        <v/>
      </c>
      <c r="Q21" s="5">
        <f>IFERROR(XLOOKUP(B21,'PLAYER MODEL'!A:A,'PLAYER MODEL'!AF:AF),0)</f>
        <v/>
      </c>
      <c r="R21" s="5">
        <f>IFERROR(XLOOKUP(B21,'PLAYER MODEL'!A:A,'PLAYER MODEL'!AH:AH),0)</f>
        <v/>
      </c>
      <c r="S21" s="5">
        <f>IFERROR(XLOOKUP(B21,'PLAYER MODEL'!A:A,'PLAYER MODEL'!AI:AI),0)</f>
        <v/>
      </c>
    </row>
    <row r="22">
      <c r="A22" s="5" t="n">
        <v>17</v>
      </c>
      <c r="B22" s="5">
        <f>IFERROR(INDEX('PLAYER MODEL'!$A$6:$A$205,MATCH(LARGE('PLAYER MODEL'!$AC$6:$AC$205,$A22),'PLAYER MODEL'!$AC$6:$AC$205,0)),"")</f>
        <v/>
      </c>
      <c r="C22" s="5">
        <f>IFERROR(XLOOKUP(B22,'PLAYER MODEL'!A:A,'PLAYER MODEL'!B:B),"")</f>
        <v/>
      </c>
      <c r="D22" s="5">
        <f>IFERROR(XLOOKUP(B22,'PLAYER MODEL'!A:A,'PLAYER MODEL'!C:C),"")</f>
        <v/>
      </c>
      <c r="E22" s="5">
        <f>IFERROR(XLOOKUP(B22,'PLAYER MODEL'!A:A,'PLAYER MODEL'!D:D),0)</f>
        <v/>
      </c>
      <c r="F22" s="5">
        <f>IFERROR(XLOOKUP($B22,'PLAYER MODEL'!$A:$A,'PLAYER MODEL'!$U:$U),0)</f>
        <v/>
      </c>
      <c r="G22" s="5">
        <f>IFERROR(XLOOKUP($B22,'PLAYER MODEL'!$A:$A,'PLAYER MODEL'!$V:$V),0)</f>
        <v/>
      </c>
      <c r="H22" s="5">
        <f>IFERROR(XLOOKUP($B22,'PLAYER MODEL'!$A:$A,'PLAYER MODEL'!$W:$W),0)</f>
        <v/>
      </c>
      <c r="I22" s="5">
        <f>IFERROR(XLOOKUP($B22,'PLAYER MODEL'!$A:$A,'PLAYER MODEL'!$X:$X),0)</f>
        <v/>
      </c>
      <c r="J22" s="5">
        <f>IFERROR(XLOOKUP($B22,'PLAYER MODEL'!$A:$A,'PLAYER MODEL'!$Y:$Y),0)</f>
        <v/>
      </c>
      <c r="K22" s="5">
        <f>IFERROR(XLOOKUP($B22,'PLAYER MODEL'!$A:$A,'PLAYER MODEL'!$Z:$Z),0)</f>
        <v/>
      </c>
      <c r="L22" s="5">
        <f>IFERROR(XLOOKUP($B22,'PLAYER MODEL'!$A:$A,'PLAYER MODEL'!$AA:$AA),0)</f>
        <v/>
      </c>
      <c r="M22" s="5">
        <f>IFERROR(XLOOKUP($B22,'PLAYER MODEL'!$A:$A,'PLAYER MODEL'!$AB:$AB),0)</f>
        <v/>
      </c>
      <c r="N22" s="5">
        <f>SUM(F22:M22)</f>
        <v/>
      </c>
      <c r="O22" s="5">
        <f>SUM(F22:K22)</f>
        <v/>
      </c>
      <c r="P22" s="5">
        <f>IFERROR(O22/E22,0)</f>
        <v/>
      </c>
      <c r="Q22" s="5">
        <f>IFERROR(XLOOKUP(B22,'PLAYER MODEL'!A:A,'PLAYER MODEL'!AF:AF),0)</f>
        <v/>
      </c>
      <c r="R22" s="5">
        <f>IFERROR(XLOOKUP(B22,'PLAYER MODEL'!A:A,'PLAYER MODEL'!AH:AH),0)</f>
        <v/>
      </c>
      <c r="S22" s="5">
        <f>IFERROR(XLOOKUP(B22,'PLAYER MODEL'!A:A,'PLAYER MODEL'!AI:AI),0)</f>
        <v/>
      </c>
    </row>
    <row r="23">
      <c r="A23" s="5" t="n">
        <v>18</v>
      </c>
      <c r="B23" s="5">
        <f>IFERROR(INDEX('PLAYER MODEL'!$A$6:$A$205,MATCH(LARGE('PLAYER MODEL'!$AC$6:$AC$205,$A23),'PLAYER MODEL'!$AC$6:$AC$205,0)),"")</f>
        <v/>
      </c>
      <c r="C23" s="5">
        <f>IFERROR(XLOOKUP(B23,'PLAYER MODEL'!A:A,'PLAYER MODEL'!B:B),"")</f>
        <v/>
      </c>
      <c r="D23" s="5">
        <f>IFERROR(XLOOKUP(B23,'PLAYER MODEL'!A:A,'PLAYER MODEL'!C:C),"")</f>
        <v/>
      </c>
      <c r="E23" s="5">
        <f>IFERROR(XLOOKUP(B23,'PLAYER MODEL'!A:A,'PLAYER MODEL'!D:D),0)</f>
        <v/>
      </c>
      <c r="F23" s="5">
        <f>IFERROR(XLOOKUP($B23,'PLAYER MODEL'!$A:$A,'PLAYER MODEL'!$U:$U),0)</f>
        <v/>
      </c>
      <c r="G23" s="5">
        <f>IFERROR(XLOOKUP($B23,'PLAYER MODEL'!$A:$A,'PLAYER MODEL'!$V:$V),0)</f>
        <v/>
      </c>
      <c r="H23" s="5">
        <f>IFERROR(XLOOKUP($B23,'PLAYER MODEL'!$A:$A,'PLAYER MODEL'!$W:$W),0)</f>
        <v/>
      </c>
      <c r="I23" s="5">
        <f>IFERROR(XLOOKUP($B23,'PLAYER MODEL'!$A:$A,'PLAYER MODEL'!$X:$X),0)</f>
        <v/>
      </c>
      <c r="J23" s="5">
        <f>IFERROR(XLOOKUP($B23,'PLAYER MODEL'!$A:$A,'PLAYER MODEL'!$Y:$Y),0)</f>
        <v/>
      </c>
      <c r="K23" s="5">
        <f>IFERROR(XLOOKUP($B23,'PLAYER MODEL'!$A:$A,'PLAYER MODEL'!$Z:$Z),0)</f>
        <v/>
      </c>
      <c r="L23" s="5">
        <f>IFERROR(XLOOKUP($B23,'PLAYER MODEL'!$A:$A,'PLAYER MODEL'!$AA:$AA),0)</f>
        <v/>
      </c>
      <c r="M23" s="5">
        <f>IFERROR(XLOOKUP($B23,'PLAYER MODEL'!$A:$A,'PLAYER MODEL'!$AB:$AB),0)</f>
        <v/>
      </c>
      <c r="N23" s="5">
        <f>SUM(F23:M23)</f>
        <v/>
      </c>
      <c r="O23" s="5">
        <f>SUM(F23:K23)</f>
        <v/>
      </c>
      <c r="P23" s="5">
        <f>IFERROR(O23/E23,0)</f>
        <v/>
      </c>
      <c r="Q23" s="5">
        <f>IFERROR(XLOOKUP(B23,'PLAYER MODEL'!A:A,'PLAYER MODEL'!AF:AF),0)</f>
        <v/>
      </c>
      <c r="R23" s="5">
        <f>IFERROR(XLOOKUP(B23,'PLAYER MODEL'!A:A,'PLAYER MODEL'!AH:AH),0)</f>
        <v/>
      </c>
      <c r="S23" s="5">
        <f>IFERROR(XLOOKUP(B23,'PLAYER MODEL'!A:A,'PLAYER MODEL'!AI:AI),0)</f>
        <v/>
      </c>
    </row>
    <row r="24">
      <c r="A24" s="5" t="n">
        <v>19</v>
      </c>
      <c r="B24" s="5">
        <f>IFERROR(INDEX('PLAYER MODEL'!$A$6:$A$205,MATCH(LARGE('PLAYER MODEL'!$AC$6:$AC$205,$A24),'PLAYER MODEL'!$AC$6:$AC$205,0)),"")</f>
        <v/>
      </c>
      <c r="C24" s="5">
        <f>IFERROR(XLOOKUP(B24,'PLAYER MODEL'!A:A,'PLAYER MODEL'!B:B),"")</f>
        <v/>
      </c>
      <c r="D24" s="5">
        <f>IFERROR(XLOOKUP(B24,'PLAYER MODEL'!A:A,'PLAYER MODEL'!C:C),"")</f>
        <v/>
      </c>
      <c r="E24" s="5">
        <f>IFERROR(XLOOKUP(B24,'PLAYER MODEL'!A:A,'PLAYER MODEL'!D:D),0)</f>
        <v/>
      </c>
      <c r="F24" s="5">
        <f>IFERROR(XLOOKUP($B24,'PLAYER MODEL'!$A:$A,'PLAYER MODEL'!$U:$U),0)</f>
        <v/>
      </c>
      <c r="G24" s="5">
        <f>IFERROR(XLOOKUP($B24,'PLAYER MODEL'!$A:$A,'PLAYER MODEL'!$V:$V),0)</f>
        <v/>
      </c>
      <c r="H24" s="5">
        <f>IFERROR(XLOOKUP($B24,'PLAYER MODEL'!$A:$A,'PLAYER MODEL'!$W:$W),0)</f>
        <v/>
      </c>
      <c r="I24" s="5">
        <f>IFERROR(XLOOKUP($B24,'PLAYER MODEL'!$A:$A,'PLAYER MODEL'!$X:$X),0)</f>
        <v/>
      </c>
      <c r="J24" s="5">
        <f>IFERROR(XLOOKUP($B24,'PLAYER MODEL'!$A:$A,'PLAYER MODEL'!$Y:$Y),0)</f>
        <v/>
      </c>
      <c r="K24" s="5">
        <f>IFERROR(XLOOKUP($B24,'PLAYER MODEL'!$A:$A,'PLAYER MODEL'!$Z:$Z),0)</f>
        <v/>
      </c>
      <c r="L24" s="5">
        <f>IFERROR(XLOOKUP($B24,'PLAYER MODEL'!$A:$A,'PLAYER MODEL'!$AA:$AA),0)</f>
        <v/>
      </c>
      <c r="M24" s="5">
        <f>IFERROR(XLOOKUP($B24,'PLAYER MODEL'!$A:$A,'PLAYER MODEL'!$AB:$AB),0)</f>
        <v/>
      </c>
      <c r="N24" s="5">
        <f>SUM(F24:M24)</f>
        <v/>
      </c>
      <c r="O24" s="5">
        <f>SUM(F24:K24)</f>
        <v/>
      </c>
      <c r="P24" s="5">
        <f>IFERROR(O24/E24,0)</f>
        <v/>
      </c>
      <c r="Q24" s="5">
        <f>IFERROR(XLOOKUP(B24,'PLAYER MODEL'!A:A,'PLAYER MODEL'!AF:AF),0)</f>
        <v/>
      </c>
      <c r="R24" s="5">
        <f>IFERROR(XLOOKUP(B24,'PLAYER MODEL'!A:A,'PLAYER MODEL'!AH:AH),0)</f>
        <v/>
      </c>
      <c r="S24" s="5">
        <f>IFERROR(XLOOKUP(B24,'PLAYER MODEL'!A:A,'PLAYER MODEL'!AI:AI),0)</f>
        <v/>
      </c>
    </row>
    <row r="25">
      <c r="A25" s="5" t="n">
        <v>20</v>
      </c>
      <c r="B25" s="5">
        <f>IFERROR(INDEX('PLAYER MODEL'!$A$6:$A$205,MATCH(LARGE('PLAYER MODEL'!$AC$6:$AC$205,$A25),'PLAYER MODEL'!$AC$6:$AC$205,0)),"")</f>
        <v/>
      </c>
      <c r="C25" s="5">
        <f>IFERROR(XLOOKUP(B25,'PLAYER MODEL'!A:A,'PLAYER MODEL'!B:B),"")</f>
        <v/>
      </c>
      <c r="D25" s="5">
        <f>IFERROR(XLOOKUP(B25,'PLAYER MODEL'!A:A,'PLAYER MODEL'!C:C),"")</f>
        <v/>
      </c>
      <c r="E25" s="5">
        <f>IFERROR(XLOOKUP(B25,'PLAYER MODEL'!A:A,'PLAYER MODEL'!D:D),0)</f>
        <v/>
      </c>
      <c r="F25" s="5">
        <f>IFERROR(XLOOKUP($B25,'PLAYER MODEL'!$A:$A,'PLAYER MODEL'!$U:$U),0)</f>
        <v/>
      </c>
      <c r="G25" s="5">
        <f>IFERROR(XLOOKUP($B25,'PLAYER MODEL'!$A:$A,'PLAYER MODEL'!$V:$V),0)</f>
        <v/>
      </c>
      <c r="H25" s="5">
        <f>IFERROR(XLOOKUP($B25,'PLAYER MODEL'!$A:$A,'PLAYER MODEL'!$W:$W),0)</f>
        <v/>
      </c>
      <c r="I25" s="5">
        <f>IFERROR(XLOOKUP($B25,'PLAYER MODEL'!$A:$A,'PLAYER MODEL'!$X:$X),0)</f>
        <v/>
      </c>
      <c r="J25" s="5">
        <f>IFERROR(XLOOKUP($B25,'PLAYER MODEL'!$A:$A,'PLAYER MODEL'!$Y:$Y),0)</f>
        <v/>
      </c>
      <c r="K25" s="5">
        <f>IFERROR(XLOOKUP($B25,'PLAYER MODEL'!$A:$A,'PLAYER MODEL'!$Z:$Z),0)</f>
        <v/>
      </c>
      <c r="L25" s="5">
        <f>IFERROR(XLOOKUP($B25,'PLAYER MODEL'!$A:$A,'PLAYER MODEL'!$AA:$AA),0)</f>
        <v/>
      </c>
      <c r="M25" s="5">
        <f>IFERROR(XLOOKUP($B25,'PLAYER MODEL'!$A:$A,'PLAYER MODEL'!$AB:$AB),0)</f>
        <v/>
      </c>
      <c r="N25" s="5">
        <f>SUM(F25:M25)</f>
        <v/>
      </c>
      <c r="O25" s="5">
        <f>SUM(F25:K25)</f>
        <v/>
      </c>
      <c r="P25" s="5">
        <f>IFERROR(O25/E25,0)</f>
        <v/>
      </c>
      <c r="Q25" s="5">
        <f>IFERROR(XLOOKUP(B25,'PLAYER MODEL'!A:A,'PLAYER MODEL'!AF:AF),0)</f>
        <v/>
      </c>
      <c r="R25" s="5">
        <f>IFERROR(XLOOKUP(B25,'PLAYER MODEL'!A:A,'PLAYER MODEL'!AH:AH),0)</f>
        <v/>
      </c>
      <c r="S25" s="5">
        <f>IFERROR(XLOOKUP(B25,'PLAYER MODEL'!A:A,'PLAYER MODEL'!AI:AI),0)</f>
        <v/>
      </c>
    </row>
    <row r="26">
      <c r="A26" s="5" t="n">
        <v>21</v>
      </c>
      <c r="B26" s="5">
        <f>IFERROR(INDEX('PLAYER MODEL'!$A$6:$A$205,MATCH(LARGE('PLAYER MODEL'!$AC$6:$AC$205,$A26),'PLAYER MODEL'!$AC$6:$AC$205,0)),"")</f>
        <v/>
      </c>
      <c r="C26" s="5">
        <f>IFERROR(XLOOKUP(B26,'PLAYER MODEL'!A:A,'PLAYER MODEL'!B:B),"")</f>
        <v/>
      </c>
      <c r="D26" s="5">
        <f>IFERROR(XLOOKUP(B26,'PLAYER MODEL'!A:A,'PLAYER MODEL'!C:C),"")</f>
        <v/>
      </c>
      <c r="E26" s="5">
        <f>IFERROR(XLOOKUP(B26,'PLAYER MODEL'!A:A,'PLAYER MODEL'!D:D),0)</f>
        <v/>
      </c>
      <c r="F26" s="5">
        <f>IFERROR(XLOOKUP($B26,'PLAYER MODEL'!$A:$A,'PLAYER MODEL'!$U:$U),0)</f>
        <v/>
      </c>
      <c r="G26" s="5">
        <f>IFERROR(XLOOKUP($B26,'PLAYER MODEL'!$A:$A,'PLAYER MODEL'!$V:$V),0)</f>
        <v/>
      </c>
      <c r="H26" s="5">
        <f>IFERROR(XLOOKUP($B26,'PLAYER MODEL'!$A:$A,'PLAYER MODEL'!$W:$W),0)</f>
        <v/>
      </c>
      <c r="I26" s="5">
        <f>IFERROR(XLOOKUP($B26,'PLAYER MODEL'!$A:$A,'PLAYER MODEL'!$X:$X),0)</f>
        <v/>
      </c>
      <c r="J26" s="5">
        <f>IFERROR(XLOOKUP($B26,'PLAYER MODEL'!$A:$A,'PLAYER MODEL'!$Y:$Y),0)</f>
        <v/>
      </c>
      <c r="K26" s="5">
        <f>IFERROR(XLOOKUP($B26,'PLAYER MODEL'!$A:$A,'PLAYER MODEL'!$Z:$Z),0)</f>
        <v/>
      </c>
      <c r="L26" s="5">
        <f>IFERROR(XLOOKUP($B26,'PLAYER MODEL'!$A:$A,'PLAYER MODEL'!$AA:$AA),0)</f>
        <v/>
      </c>
      <c r="M26" s="5">
        <f>IFERROR(XLOOKUP($B26,'PLAYER MODEL'!$A:$A,'PLAYER MODEL'!$AB:$AB),0)</f>
        <v/>
      </c>
      <c r="N26" s="5">
        <f>SUM(F26:M26)</f>
        <v/>
      </c>
      <c r="O26" s="5">
        <f>SUM(F26:K26)</f>
        <v/>
      </c>
      <c r="P26" s="5">
        <f>IFERROR(O26/E26,0)</f>
        <v/>
      </c>
      <c r="Q26" s="5">
        <f>IFERROR(XLOOKUP(B26,'PLAYER MODEL'!A:A,'PLAYER MODEL'!AF:AF),0)</f>
        <v/>
      </c>
      <c r="R26" s="5">
        <f>IFERROR(XLOOKUP(B26,'PLAYER MODEL'!A:A,'PLAYER MODEL'!AH:AH),0)</f>
        <v/>
      </c>
      <c r="S26" s="5">
        <f>IFERROR(XLOOKUP(B26,'PLAYER MODEL'!A:A,'PLAYER MODEL'!AI:AI),0)</f>
        <v/>
      </c>
    </row>
    <row r="27">
      <c r="A27" s="5" t="n">
        <v>22</v>
      </c>
      <c r="B27" s="5">
        <f>IFERROR(INDEX('PLAYER MODEL'!$A$6:$A$205,MATCH(LARGE('PLAYER MODEL'!$AC$6:$AC$205,$A27),'PLAYER MODEL'!$AC$6:$AC$205,0)),"")</f>
        <v/>
      </c>
      <c r="C27" s="5">
        <f>IFERROR(XLOOKUP(B27,'PLAYER MODEL'!A:A,'PLAYER MODEL'!B:B),"")</f>
        <v/>
      </c>
      <c r="D27" s="5">
        <f>IFERROR(XLOOKUP(B27,'PLAYER MODEL'!A:A,'PLAYER MODEL'!C:C),"")</f>
        <v/>
      </c>
      <c r="E27" s="5">
        <f>IFERROR(XLOOKUP(B27,'PLAYER MODEL'!A:A,'PLAYER MODEL'!D:D),0)</f>
        <v/>
      </c>
      <c r="F27" s="5">
        <f>IFERROR(XLOOKUP($B27,'PLAYER MODEL'!$A:$A,'PLAYER MODEL'!$U:$U),0)</f>
        <v/>
      </c>
      <c r="G27" s="5">
        <f>IFERROR(XLOOKUP($B27,'PLAYER MODEL'!$A:$A,'PLAYER MODEL'!$V:$V),0)</f>
        <v/>
      </c>
      <c r="H27" s="5">
        <f>IFERROR(XLOOKUP($B27,'PLAYER MODEL'!$A:$A,'PLAYER MODEL'!$W:$W),0)</f>
        <v/>
      </c>
      <c r="I27" s="5">
        <f>IFERROR(XLOOKUP($B27,'PLAYER MODEL'!$A:$A,'PLAYER MODEL'!$X:$X),0)</f>
        <v/>
      </c>
      <c r="J27" s="5">
        <f>IFERROR(XLOOKUP($B27,'PLAYER MODEL'!$A:$A,'PLAYER MODEL'!$Y:$Y),0)</f>
        <v/>
      </c>
      <c r="K27" s="5">
        <f>IFERROR(XLOOKUP($B27,'PLAYER MODEL'!$A:$A,'PLAYER MODEL'!$Z:$Z),0)</f>
        <v/>
      </c>
      <c r="L27" s="5">
        <f>IFERROR(XLOOKUP($B27,'PLAYER MODEL'!$A:$A,'PLAYER MODEL'!$AA:$AA),0)</f>
        <v/>
      </c>
      <c r="M27" s="5">
        <f>IFERROR(XLOOKUP($B27,'PLAYER MODEL'!$A:$A,'PLAYER MODEL'!$AB:$AB),0)</f>
        <v/>
      </c>
      <c r="N27" s="5">
        <f>SUM(F27:M27)</f>
        <v/>
      </c>
      <c r="O27" s="5">
        <f>SUM(F27:K27)</f>
        <v/>
      </c>
      <c r="P27" s="5">
        <f>IFERROR(O27/E27,0)</f>
        <v/>
      </c>
      <c r="Q27" s="5">
        <f>IFERROR(XLOOKUP(B27,'PLAYER MODEL'!A:A,'PLAYER MODEL'!AF:AF),0)</f>
        <v/>
      </c>
      <c r="R27" s="5">
        <f>IFERROR(XLOOKUP(B27,'PLAYER MODEL'!A:A,'PLAYER MODEL'!AH:AH),0)</f>
        <v/>
      </c>
      <c r="S27" s="5">
        <f>IFERROR(XLOOKUP(B27,'PLAYER MODEL'!A:A,'PLAYER MODEL'!AI:AI),0)</f>
        <v/>
      </c>
    </row>
    <row r="28">
      <c r="A28" s="5" t="n">
        <v>23</v>
      </c>
      <c r="B28" s="5">
        <f>IFERROR(INDEX('PLAYER MODEL'!$A$6:$A$205,MATCH(LARGE('PLAYER MODEL'!$AC$6:$AC$205,$A28),'PLAYER MODEL'!$AC$6:$AC$205,0)),"")</f>
        <v/>
      </c>
      <c r="C28" s="5">
        <f>IFERROR(XLOOKUP(B28,'PLAYER MODEL'!A:A,'PLAYER MODEL'!B:B),"")</f>
        <v/>
      </c>
      <c r="D28" s="5">
        <f>IFERROR(XLOOKUP(B28,'PLAYER MODEL'!A:A,'PLAYER MODEL'!C:C),"")</f>
        <v/>
      </c>
      <c r="E28" s="5">
        <f>IFERROR(XLOOKUP(B28,'PLAYER MODEL'!A:A,'PLAYER MODEL'!D:D),0)</f>
        <v/>
      </c>
      <c r="F28" s="5">
        <f>IFERROR(XLOOKUP($B28,'PLAYER MODEL'!$A:$A,'PLAYER MODEL'!$U:$U),0)</f>
        <v/>
      </c>
      <c r="G28" s="5">
        <f>IFERROR(XLOOKUP($B28,'PLAYER MODEL'!$A:$A,'PLAYER MODEL'!$V:$V),0)</f>
        <v/>
      </c>
      <c r="H28" s="5">
        <f>IFERROR(XLOOKUP($B28,'PLAYER MODEL'!$A:$A,'PLAYER MODEL'!$W:$W),0)</f>
        <v/>
      </c>
      <c r="I28" s="5">
        <f>IFERROR(XLOOKUP($B28,'PLAYER MODEL'!$A:$A,'PLAYER MODEL'!$X:$X),0)</f>
        <v/>
      </c>
      <c r="J28" s="5">
        <f>IFERROR(XLOOKUP($B28,'PLAYER MODEL'!$A:$A,'PLAYER MODEL'!$Y:$Y),0)</f>
        <v/>
      </c>
      <c r="K28" s="5">
        <f>IFERROR(XLOOKUP($B28,'PLAYER MODEL'!$A:$A,'PLAYER MODEL'!$Z:$Z),0)</f>
        <v/>
      </c>
      <c r="L28" s="5">
        <f>IFERROR(XLOOKUP($B28,'PLAYER MODEL'!$A:$A,'PLAYER MODEL'!$AA:$AA),0)</f>
        <v/>
      </c>
      <c r="M28" s="5">
        <f>IFERROR(XLOOKUP($B28,'PLAYER MODEL'!$A:$A,'PLAYER MODEL'!$AB:$AB),0)</f>
        <v/>
      </c>
      <c r="N28" s="5">
        <f>SUM(F28:M28)</f>
        <v/>
      </c>
      <c r="O28" s="5">
        <f>SUM(F28:K28)</f>
        <v/>
      </c>
      <c r="P28" s="5">
        <f>IFERROR(O28/E28,0)</f>
        <v/>
      </c>
      <c r="Q28" s="5">
        <f>IFERROR(XLOOKUP(B28,'PLAYER MODEL'!A:A,'PLAYER MODEL'!AF:AF),0)</f>
        <v/>
      </c>
      <c r="R28" s="5">
        <f>IFERROR(XLOOKUP(B28,'PLAYER MODEL'!A:A,'PLAYER MODEL'!AH:AH),0)</f>
        <v/>
      </c>
      <c r="S28" s="5">
        <f>IFERROR(XLOOKUP(B28,'PLAYER MODEL'!A:A,'PLAYER MODEL'!AI:AI),0)</f>
        <v/>
      </c>
    </row>
    <row r="29">
      <c r="A29" s="5" t="n">
        <v>24</v>
      </c>
      <c r="B29" s="5">
        <f>IFERROR(INDEX('PLAYER MODEL'!$A$6:$A$205,MATCH(LARGE('PLAYER MODEL'!$AC$6:$AC$205,$A29),'PLAYER MODEL'!$AC$6:$AC$205,0)),"")</f>
        <v/>
      </c>
      <c r="C29" s="5">
        <f>IFERROR(XLOOKUP(B29,'PLAYER MODEL'!A:A,'PLAYER MODEL'!B:B),"")</f>
        <v/>
      </c>
      <c r="D29" s="5">
        <f>IFERROR(XLOOKUP(B29,'PLAYER MODEL'!A:A,'PLAYER MODEL'!C:C),"")</f>
        <v/>
      </c>
      <c r="E29" s="5">
        <f>IFERROR(XLOOKUP(B29,'PLAYER MODEL'!A:A,'PLAYER MODEL'!D:D),0)</f>
        <v/>
      </c>
      <c r="F29" s="5">
        <f>IFERROR(XLOOKUP($B29,'PLAYER MODEL'!$A:$A,'PLAYER MODEL'!$U:$U),0)</f>
        <v/>
      </c>
      <c r="G29" s="5">
        <f>IFERROR(XLOOKUP($B29,'PLAYER MODEL'!$A:$A,'PLAYER MODEL'!$V:$V),0)</f>
        <v/>
      </c>
      <c r="H29" s="5">
        <f>IFERROR(XLOOKUP($B29,'PLAYER MODEL'!$A:$A,'PLAYER MODEL'!$W:$W),0)</f>
        <v/>
      </c>
      <c r="I29" s="5">
        <f>IFERROR(XLOOKUP($B29,'PLAYER MODEL'!$A:$A,'PLAYER MODEL'!$X:$X),0)</f>
        <v/>
      </c>
      <c r="J29" s="5">
        <f>IFERROR(XLOOKUP($B29,'PLAYER MODEL'!$A:$A,'PLAYER MODEL'!$Y:$Y),0)</f>
        <v/>
      </c>
      <c r="K29" s="5">
        <f>IFERROR(XLOOKUP($B29,'PLAYER MODEL'!$A:$A,'PLAYER MODEL'!$Z:$Z),0)</f>
        <v/>
      </c>
      <c r="L29" s="5">
        <f>IFERROR(XLOOKUP($B29,'PLAYER MODEL'!$A:$A,'PLAYER MODEL'!$AA:$AA),0)</f>
        <v/>
      </c>
      <c r="M29" s="5">
        <f>IFERROR(XLOOKUP($B29,'PLAYER MODEL'!$A:$A,'PLAYER MODEL'!$AB:$AB),0)</f>
        <v/>
      </c>
      <c r="N29" s="5">
        <f>SUM(F29:M29)</f>
        <v/>
      </c>
      <c r="O29" s="5">
        <f>SUM(F29:K29)</f>
        <v/>
      </c>
      <c r="P29" s="5">
        <f>IFERROR(O29/E29,0)</f>
        <v/>
      </c>
      <c r="Q29" s="5">
        <f>IFERROR(XLOOKUP(B29,'PLAYER MODEL'!A:A,'PLAYER MODEL'!AF:AF),0)</f>
        <v/>
      </c>
      <c r="R29" s="5">
        <f>IFERROR(XLOOKUP(B29,'PLAYER MODEL'!A:A,'PLAYER MODEL'!AH:AH),0)</f>
        <v/>
      </c>
      <c r="S29" s="5">
        <f>IFERROR(XLOOKUP(B29,'PLAYER MODEL'!A:A,'PLAYER MODEL'!AI:AI),0)</f>
        <v/>
      </c>
    </row>
    <row r="30">
      <c r="A30" s="5" t="n">
        <v>25</v>
      </c>
      <c r="B30" s="5">
        <f>IFERROR(INDEX('PLAYER MODEL'!$A$6:$A$205,MATCH(LARGE('PLAYER MODEL'!$AC$6:$AC$205,$A30),'PLAYER MODEL'!$AC$6:$AC$205,0)),"")</f>
        <v/>
      </c>
      <c r="C30" s="5">
        <f>IFERROR(XLOOKUP(B30,'PLAYER MODEL'!A:A,'PLAYER MODEL'!B:B),"")</f>
        <v/>
      </c>
      <c r="D30" s="5">
        <f>IFERROR(XLOOKUP(B30,'PLAYER MODEL'!A:A,'PLAYER MODEL'!C:C),"")</f>
        <v/>
      </c>
      <c r="E30" s="5">
        <f>IFERROR(XLOOKUP(B30,'PLAYER MODEL'!A:A,'PLAYER MODEL'!D:D),0)</f>
        <v/>
      </c>
      <c r="F30" s="5">
        <f>IFERROR(XLOOKUP($B30,'PLAYER MODEL'!$A:$A,'PLAYER MODEL'!$U:$U),0)</f>
        <v/>
      </c>
      <c r="G30" s="5">
        <f>IFERROR(XLOOKUP($B30,'PLAYER MODEL'!$A:$A,'PLAYER MODEL'!$V:$V),0)</f>
        <v/>
      </c>
      <c r="H30" s="5">
        <f>IFERROR(XLOOKUP($B30,'PLAYER MODEL'!$A:$A,'PLAYER MODEL'!$W:$W),0)</f>
        <v/>
      </c>
      <c r="I30" s="5">
        <f>IFERROR(XLOOKUP($B30,'PLAYER MODEL'!$A:$A,'PLAYER MODEL'!$X:$X),0)</f>
        <v/>
      </c>
      <c r="J30" s="5">
        <f>IFERROR(XLOOKUP($B30,'PLAYER MODEL'!$A:$A,'PLAYER MODEL'!$Y:$Y),0)</f>
        <v/>
      </c>
      <c r="K30" s="5">
        <f>IFERROR(XLOOKUP($B30,'PLAYER MODEL'!$A:$A,'PLAYER MODEL'!$Z:$Z),0)</f>
        <v/>
      </c>
      <c r="L30" s="5">
        <f>IFERROR(XLOOKUP($B30,'PLAYER MODEL'!$A:$A,'PLAYER MODEL'!$AA:$AA),0)</f>
        <v/>
      </c>
      <c r="M30" s="5">
        <f>IFERROR(XLOOKUP($B30,'PLAYER MODEL'!$A:$A,'PLAYER MODEL'!$AB:$AB),0)</f>
        <v/>
      </c>
      <c r="N30" s="5">
        <f>SUM(F30:M30)</f>
        <v/>
      </c>
      <c r="O30" s="5">
        <f>SUM(F30:K30)</f>
        <v/>
      </c>
      <c r="P30" s="5">
        <f>IFERROR(O30/E30,0)</f>
        <v/>
      </c>
      <c r="Q30" s="5">
        <f>IFERROR(XLOOKUP(B30,'PLAYER MODEL'!A:A,'PLAYER MODEL'!AF:AF),0)</f>
        <v/>
      </c>
      <c r="R30" s="5">
        <f>IFERROR(XLOOKUP(B30,'PLAYER MODEL'!A:A,'PLAYER MODEL'!AH:AH),0)</f>
        <v/>
      </c>
      <c r="S30" s="5">
        <f>IFERROR(XLOOKUP(B30,'PLAYER MODEL'!A:A,'PLAYER MODEL'!AI:AI),0)</f>
        <v/>
      </c>
    </row>
    <row r="31">
      <c r="A31" s="5" t="n">
        <v>26</v>
      </c>
      <c r="B31" s="5">
        <f>IFERROR(INDEX('PLAYER MODEL'!$A$6:$A$205,MATCH(LARGE('PLAYER MODEL'!$AC$6:$AC$205,$A31),'PLAYER MODEL'!$AC$6:$AC$205,0)),"")</f>
        <v/>
      </c>
      <c r="C31" s="5">
        <f>IFERROR(XLOOKUP(B31,'PLAYER MODEL'!A:A,'PLAYER MODEL'!B:B),"")</f>
        <v/>
      </c>
      <c r="D31" s="5">
        <f>IFERROR(XLOOKUP(B31,'PLAYER MODEL'!A:A,'PLAYER MODEL'!C:C),"")</f>
        <v/>
      </c>
      <c r="E31" s="5">
        <f>IFERROR(XLOOKUP(B31,'PLAYER MODEL'!A:A,'PLAYER MODEL'!D:D),0)</f>
        <v/>
      </c>
      <c r="F31" s="5">
        <f>IFERROR(XLOOKUP($B31,'PLAYER MODEL'!$A:$A,'PLAYER MODEL'!$U:$U),0)</f>
        <v/>
      </c>
      <c r="G31" s="5">
        <f>IFERROR(XLOOKUP($B31,'PLAYER MODEL'!$A:$A,'PLAYER MODEL'!$V:$V),0)</f>
        <v/>
      </c>
      <c r="H31" s="5">
        <f>IFERROR(XLOOKUP($B31,'PLAYER MODEL'!$A:$A,'PLAYER MODEL'!$W:$W),0)</f>
        <v/>
      </c>
      <c r="I31" s="5">
        <f>IFERROR(XLOOKUP($B31,'PLAYER MODEL'!$A:$A,'PLAYER MODEL'!$X:$X),0)</f>
        <v/>
      </c>
      <c r="J31" s="5">
        <f>IFERROR(XLOOKUP($B31,'PLAYER MODEL'!$A:$A,'PLAYER MODEL'!$Y:$Y),0)</f>
        <v/>
      </c>
      <c r="K31" s="5">
        <f>IFERROR(XLOOKUP($B31,'PLAYER MODEL'!$A:$A,'PLAYER MODEL'!$Z:$Z),0)</f>
        <v/>
      </c>
      <c r="L31" s="5">
        <f>IFERROR(XLOOKUP($B31,'PLAYER MODEL'!$A:$A,'PLAYER MODEL'!$AA:$AA),0)</f>
        <v/>
      </c>
      <c r="M31" s="5">
        <f>IFERROR(XLOOKUP($B31,'PLAYER MODEL'!$A:$A,'PLAYER MODEL'!$AB:$AB),0)</f>
        <v/>
      </c>
      <c r="N31" s="5">
        <f>SUM(F31:M31)</f>
        <v/>
      </c>
      <c r="O31" s="5">
        <f>SUM(F31:K31)</f>
        <v/>
      </c>
      <c r="P31" s="5">
        <f>IFERROR(O31/E31,0)</f>
        <v/>
      </c>
      <c r="Q31" s="5">
        <f>IFERROR(XLOOKUP(B31,'PLAYER MODEL'!A:A,'PLAYER MODEL'!AF:AF),0)</f>
        <v/>
      </c>
      <c r="R31" s="5">
        <f>IFERROR(XLOOKUP(B31,'PLAYER MODEL'!A:A,'PLAYER MODEL'!AH:AH),0)</f>
        <v/>
      </c>
      <c r="S31" s="5">
        <f>IFERROR(XLOOKUP(B31,'PLAYER MODEL'!A:A,'PLAYER MODEL'!AI:AI),0)</f>
        <v/>
      </c>
    </row>
    <row r="32">
      <c r="A32" s="5" t="n">
        <v>27</v>
      </c>
      <c r="B32" s="5">
        <f>IFERROR(INDEX('PLAYER MODEL'!$A$6:$A$205,MATCH(LARGE('PLAYER MODEL'!$AC$6:$AC$205,$A32),'PLAYER MODEL'!$AC$6:$AC$205,0)),"")</f>
        <v/>
      </c>
      <c r="C32" s="5">
        <f>IFERROR(XLOOKUP(B32,'PLAYER MODEL'!A:A,'PLAYER MODEL'!B:B),"")</f>
        <v/>
      </c>
      <c r="D32" s="5">
        <f>IFERROR(XLOOKUP(B32,'PLAYER MODEL'!A:A,'PLAYER MODEL'!C:C),"")</f>
        <v/>
      </c>
      <c r="E32" s="5">
        <f>IFERROR(XLOOKUP(B32,'PLAYER MODEL'!A:A,'PLAYER MODEL'!D:D),0)</f>
        <v/>
      </c>
      <c r="F32" s="5">
        <f>IFERROR(XLOOKUP($B32,'PLAYER MODEL'!$A:$A,'PLAYER MODEL'!$U:$U),0)</f>
        <v/>
      </c>
      <c r="G32" s="5">
        <f>IFERROR(XLOOKUP($B32,'PLAYER MODEL'!$A:$A,'PLAYER MODEL'!$V:$V),0)</f>
        <v/>
      </c>
      <c r="H32" s="5">
        <f>IFERROR(XLOOKUP($B32,'PLAYER MODEL'!$A:$A,'PLAYER MODEL'!$W:$W),0)</f>
        <v/>
      </c>
      <c r="I32" s="5">
        <f>IFERROR(XLOOKUP($B32,'PLAYER MODEL'!$A:$A,'PLAYER MODEL'!$X:$X),0)</f>
        <v/>
      </c>
      <c r="J32" s="5">
        <f>IFERROR(XLOOKUP($B32,'PLAYER MODEL'!$A:$A,'PLAYER MODEL'!$Y:$Y),0)</f>
        <v/>
      </c>
      <c r="K32" s="5">
        <f>IFERROR(XLOOKUP($B32,'PLAYER MODEL'!$A:$A,'PLAYER MODEL'!$Z:$Z),0)</f>
        <v/>
      </c>
      <c r="L32" s="5">
        <f>IFERROR(XLOOKUP($B32,'PLAYER MODEL'!$A:$A,'PLAYER MODEL'!$AA:$AA),0)</f>
        <v/>
      </c>
      <c r="M32" s="5">
        <f>IFERROR(XLOOKUP($B32,'PLAYER MODEL'!$A:$A,'PLAYER MODEL'!$AB:$AB),0)</f>
        <v/>
      </c>
      <c r="N32" s="5">
        <f>SUM(F32:M32)</f>
        <v/>
      </c>
      <c r="O32" s="5">
        <f>SUM(F32:K32)</f>
        <v/>
      </c>
      <c r="P32" s="5">
        <f>IFERROR(O32/E32,0)</f>
        <v/>
      </c>
      <c r="Q32" s="5">
        <f>IFERROR(XLOOKUP(B32,'PLAYER MODEL'!A:A,'PLAYER MODEL'!AF:AF),0)</f>
        <v/>
      </c>
      <c r="R32" s="5">
        <f>IFERROR(XLOOKUP(B32,'PLAYER MODEL'!A:A,'PLAYER MODEL'!AH:AH),0)</f>
        <v/>
      </c>
      <c r="S32" s="5">
        <f>IFERROR(XLOOKUP(B32,'PLAYER MODEL'!A:A,'PLAYER MODEL'!AI:AI),0)</f>
        <v/>
      </c>
    </row>
    <row r="33">
      <c r="A33" s="5" t="n">
        <v>28</v>
      </c>
      <c r="B33" s="5">
        <f>IFERROR(INDEX('PLAYER MODEL'!$A$6:$A$205,MATCH(LARGE('PLAYER MODEL'!$AC$6:$AC$205,$A33),'PLAYER MODEL'!$AC$6:$AC$205,0)),"")</f>
        <v/>
      </c>
      <c r="C33" s="5">
        <f>IFERROR(XLOOKUP(B33,'PLAYER MODEL'!A:A,'PLAYER MODEL'!B:B),"")</f>
        <v/>
      </c>
      <c r="D33" s="5">
        <f>IFERROR(XLOOKUP(B33,'PLAYER MODEL'!A:A,'PLAYER MODEL'!C:C),"")</f>
        <v/>
      </c>
      <c r="E33" s="5">
        <f>IFERROR(XLOOKUP(B33,'PLAYER MODEL'!A:A,'PLAYER MODEL'!D:D),0)</f>
        <v/>
      </c>
      <c r="F33" s="5">
        <f>IFERROR(XLOOKUP($B33,'PLAYER MODEL'!$A:$A,'PLAYER MODEL'!$U:$U),0)</f>
        <v/>
      </c>
      <c r="G33" s="5">
        <f>IFERROR(XLOOKUP($B33,'PLAYER MODEL'!$A:$A,'PLAYER MODEL'!$V:$V),0)</f>
        <v/>
      </c>
      <c r="H33" s="5">
        <f>IFERROR(XLOOKUP($B33,'PLAYER MODEL'!$A:$A,'PLAYER MODEL'!$W:$W),0)</f>
        <v/>
      </c>
      <c r="I33" s="5">
        <f>IFERROR(XLOOKUP($B33,'PLAYER MODEL'!$A:$A,'PLAYER MODEL'!$X:$X),0)</f>
        <v/>
      </c>
      <c r="J33" s="5">
        <f>IFERROR(XLOOKUP($B33,'PLAYER MODEL'!$A:$A,'PLAYER MODEL'!$Y:$Y),0)</f>
        <v/>
      </c>
      <c r="K33" s="5">
        <f>IFERROR(XLOOKUP($B33,'PLAYER MODEL'!$A:$A,'PLAYER MODEL'!$Z:$Z),0)</f>
        <v/>
      </c>
      <c r="L33" s="5">
        <f>IFERROR(XLOOKUP($B33,'PLAYER MODEL'!$A:$A,'PLAYER MODEL'!$AA:$AA),0)</f>
        <v/>
      </c>
      <c r="M33" s="5">
        <f>IFERROR(XLOOKUP($B33,'PLAYER MODEL'!$A:$A,'PLAYER MODEL'!$AB:$AB),0)</f>
        <v/>
      </c>
      <c r="N33" s="5">
        <f>SUM(F33:M33)</f>
        <v/>
      </c>
      <c r="O33" s="5">
        <f>SUM(F33:K33)</f>
        <v/>
      </c>
      <c r="P33" s="5">
        <f>IFERROR(O33/E33,0)</f>
        <v/>
      </c>
      <c r="Q33" s="5">
        <f>IFERROR(XLOOKUP(B33,'PLAYER MODEL'!A:A,'PLAYER MODEL'!AF:AF),0)</f>
        <v/>
      </c>
      <c r="R33" s="5">
        <f>IFERROR(XLOOKUP(B33,'PLAYER MODEL'!A:A,'PLAYER MODEL'!AH:AH),0)</f>
        <v/>
      </c>
      <c r="S33" s="5">
        <f>IFERROR(XLOOKUP(B33,'PLAYER MODEL'!A:A,'PLAYER MODEL'!AI:AI),0)</f>
        <v/>
      </c>
    </row>
    <row r="34">
      <c r="A34" s="5" t="n">
        <v>29</v>
      </c>
      <c r="B34" s="5">
        <f>IFERROR(INDEX('PLAYER MODEL'!$A$6:$A$205,MATCH(LARGE('PLAYER MODEL'!$AC$6:$AC$205,$A34),'PLAYER MODEL'!$AC$6:$AC$205,0)),"")</f>
        <v/>
      </c>
      <c r="C34" s="5">
        <f>IFERROR(XLOOKUP(B34,'PLAYER MODEL'!A:A,'PLAYER MODEL'!B:B),"")</f>
        <v/>
      </c>
      <c r="D34" s="5">
        <f>IFERROR(XLOOKUP(B34,'PLAYER MODEL'!A:A,'PLAYER MODEL'!C:C),"")</f>
        <v/>
      </c>
      <c r="E34" s="5">
        <f>IFERROR(XLOOKUP(B34,'PLAYER MODEL'!A:A,'PLAYER MODEL'!D:D),0)</f>
        <v/>
      </c>
      <c r="F34" s="5">
        <f>IFERROR(XLOOKUP($B34,'PLAYER MODEL'!$A:$A,'PLAYER MODEL'!$U:$U),0)</f>
        <v/>
      </c>
      <c r="G34" s="5">
        <f>IFERROR(XLOOKUP($B34,'PLAYER MODEL'!$A:$A,'PLAYER MODEL'!$V:$V),0)</f>
        <v/>
      </c>
      <c r="H34" s="5">
        <f>IFERROR(XLOOKUP($B34,'PLAYER MODEL'!$A:$A,'PLAYER MODEL'!$W:$W),0)</f>
        <v/>
      </c>
      <c r="I34" s="5">
        <f>IFERROR(XLOOKUP($B34,'PLAYER MODEL'!$A:$A,'PLAYER MODEL'!$X:$X),0)</f>
        <v/>
      </c>
      <c r="J34" s="5">
        <f>IFERROR(XLOOKUP($B34,'PLAYER MODEL'!$A:$A,'PLAYER MODEL'!$Y:$Y),0)</f>
        <v/>
      </c>
      <c r="K34" s="5">
        <f>IFERROR(XLOOKUP($B34,'PLAYER MODEL'!$A:$A,'PLAYER MODEL'!$Z:$Z),0)</f>
        <v/>
      </c>
      <c r="L34" s="5">
        <f>IFERROR(XLOOKUP($B34,'PLAYER MODEL'!$A:$A,'PLAYER MODEL'!$AA:$AA),0)</f>
        <v/>
      </c>
      <c r="M34" s="5">
        <f>IFERROR(XLOOKUP($B34,'PLAYER MODEL'!$A:$A,'PLAYER MODEL'!$AB:$AB),0)</f>
        <v/>
      </c>
      <c r="N34" s="5">
        <f>SUM(F34:M34)</f>
        <v/>
      </c>
      <c r="O34" s="5">
        <f>SUM(F34:K34)</f>
        <v/>
      </c>
      <c r="P34" s="5">
        <f>IFERROR(O34/E34,0)</f>
        <v/>
      </c>
      <c r="Q34" s="5">
        <f>IFERROR(XLOOKUP(B34,'PLAYER MODEL'!A:A,'PLAYER MODEL'!AF:AF),0)</f>
        <v/>
      </c>
      <c r="R34" s="5">
        <f>IFERROR(XLOOKUP(B34,'PLAYER MODEL'!A:A,'PLAYER MODEL'!AH:AH),0)</f>
        <v/>
      </c>
      <c r="S34" s="5">
        <f>IFERROR(XLOOKUP(B34,'PLAYER MODEL'!A:A,'PLAYER MODEL'!AI:AI),0)</f>
        <v/>
      </c>
    </row>
    <row r="35">
      <c r="A35" s="5" t="n">
        <v>30</v>
      </c>
      <c r="B35" s="5">
        <f>IFERROR(INDEX('PLAYER MODEL'!$A$6:$A$205,MATCH(LARGE('PLAYER MODEL'!$AC$6:$AC$205,$A35),'PLAYER MODEL'!$AC$6:$AC$205,0)),"")</f>
        <v/>
      </c>
      <c r="C35" s="5">
        <f>IFERROR(XLOOKUP(B35,'PLAYER MODEL'!A:A,'PLAYER MODEL'!B:B),"")</f>
        <v/>
      </c>
      <c r="D35" s="5">
        <f>IFERROR(XLOOKUP(B35,'PLAYER MODEL'!A:A,'PLAYER MODEL'!C:C),"")</f>
        <v/>
      </c>
      <c r="E35" s="5">
        <f>IFERROR(XLOOKUP(B35,'PLAYER MODEL'!A:A,'PLAYER MODEL'!D:D),0)</f>
        <v/>
      </c>
      <c r="F35" s="5">
        <f>IFERROR(XLOOKUP($B35,'PLAYER MODEL'!$A:$A,'PLAYER MODEL'!$U:$U),0)</f>
        <v/>
      </c>
      <c r="G35" s="5">
        <f>IFERROR(XLOOKUP($B35,'PLAYER MODEL'!$A:$A,'PLAYER MODEL'!$V:$V),0)</f>
        <v/>
      </c>
      <c r="H35" s="5">
        <f>IFERROR(XLOOKUP($B35,'PLAYER MODEL'!$A:$A,'PLAYER MODEL'!$W:$W),0)</f>
        <v/>
      </c>
      <c r="I35" s="5">
        <f>IFERROR(XLOOKUP($B35,'PLAYER MODEL'!$A:$A,'PLAYER MODEL'!$X:$X),0)</f>
        <v/>
      </c>
      <c r="J35" s="5">
        <f>IFERROR(XLOOKUP($B35,'PLAYER MODEL'!$A:$A,'PLAYER MODEL'!$Y:$Y),0)</f>
        <v/>
      </c>
      <c r="K35" s="5">
        <f>IFERROR(XLOOKUP($B35,'PLAYER MODEL'!$A:$A,'PLAYER MODEL'!$Z:$Z),0)</f>
        <v/>
      </c>
      <c r="L35" s="5">
        <f>IFERROR(XLOOKUP($B35,'PLAYER MODEL'!$A:$A,'PLAYER MODEL'!$AA:$AA),0)</f>
        <v/>
      </c>
      <c r="M35" s="5">
        <f>IFERROR(XLOOKUP($B35,'PLAYER MODEL'!$A:$A,'PLAYER MODEL'!$AB:$AB),0)</f>
        <v/>
      </c>
      <c r="N35" s="5">
        <f>SUM(F35:M35)</f>
        <v/>
      </c>
      <c r="O35" s="5">
        <f>SUM(F35:K35)</f>
        <v/>
      </c>
      <c r="P35" s="5">
        <f>IFERROR(O35/E35,0)</f>
        <v/>
      </c>
      <c r="Q35" s="5">
        <f>IFERROR(XLOOKUP(B35,'PLAYER MODEL'!A:A,'PLAYER MODEL'!AF:AF),0)</f>
        <v/>
      </c>
      <c r="R35" s="5">
        <f>IFERROR(XLOOKUP(B35,'PLAYER MODEL'!A:A,'PLAYER MODEL'!AH:AH),0)</f>
        <v/>
      </c>
      <c r="S35" s="5">
        <f>IFERROR(XLOOKUP(B35,'PLAYER MODEL'!A:A,'PLAYER MODEL'!AI:AI),0)</f>
        <v/>
      </c>
    </row>
  </sheetData>
  <mergeCells count="2">
    <mergeCell ref="B3:N3"/>
    <mergeCell ref="A1:N1"/>
  </mergeCells>
  <conditionalFormatting sqref="S6:S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26" customWidth="1" min="4" max="4"/>
    <col width="23" customWidth="1" min="5" max="5"/>
    <col width="21" customWidth="1" min="6" max="6"/>
    <col width="38" customWidth="1" min="7" max="7"/>
    <col width="38" customWidth="1" min="8" max="8"/>
    <col width="16" customWidth="1" min="9" max="9"/>
    <col width="12" customWidth="1" min="10" max="10"/>
    <col width="38" customWidth="1" min="11" max="11"/>
    <col width="38" customWidth="1" min="12" max="12"/>
    <col width="16" customWidth="1" min="13" max="13"/>
    <col width="12" customWidth="1" min="14" max="14"/>
    <col width="38" customWidth="1" min="15" max="15"/>
    <col width="21" customWidth="1" min="16" max="16"/>
    <col width="38" customWidth="1" min="17" max="17"/>
  </cols>
  <sheetData>
    <row r="1">
      <c r="A1" s="27" t="inlineStr">
        <is>
          <t>Transfer Expected Value Engine</t>
        </is>
      </c>
    </row>
    <row r="2">
      <c r="A2" s="29" t="inlineStr">
        <is>
          <t>Formula-driven decision support — not an official FPL prediction.</t>
        </is>
      </c>
    </row>
    <row r="3">
      <c r="A3" s="2" t="inlineStr">
        <is>
          <t>Use this for actual transfer decisions</t>
        </is>
      </c>
      <c r="B3" s="2" t="inlineStr">
        <is>
          <t>Enter OUT and IN players, number of transfers taken this week, and any qualitative reason. The engine compares 6GW and 8GW projections and subtracts the hit.</t>
        </is>
      </c>
    </row>
    <row r="5">
      <c r="A5" s="19" t="inlineStr">
        <is>
          <t>GW</t>
        </is>
      </c>
      <c r="B5" s="19" t="inlineStr">
        <is>
          <t>OUT</t>
        </is>
      </c>
      <c r="C5" s="19" t="inlineStr">
        <is>
          <t>IN</t>
        </is>
      </c>
      <c r="D5" s="19" t="inlineStr">
        <is>
          <t>Free transfers available</t>
        </is>
      </c>
      <c r="E5" s="19" t="inlineStr">
        <is>
          <t>Total transfers taken</t>
        </is>
      </c>
      <c r="F5" s="19" t="inlineStr">
        <is>
          <t>Hit cost</t>
        </is>
      </c>
      <c r="G5" s="19" t="inlineStr">
        <is>
          <t>OUT 6GW xP</t>
        </is>
      </c>
      <c r="H5" s="19" t="inlineStr">
        <is>
          <t>IN 6GW xP</t>
        </is>
      </c>
      <c r="I5" s="19" t="inlineStr">
        <is>
          <t>6GW gross gain</t>
        </is>
      </c>
      <c r="J5" s="19" t="inlineStr">
        <is>
          <t>Net 6GW EV</t>
        </is>
      </c>
      <c r="K5" s="19" t="inlineStr">
        <is>
          <t>OUT 8GW xP</t>
        </is>
      </c>
      <c r="L5" s="19" t="inlineStr">
        <is>
          <t>IN 8GW xP</t>
        </is>
      </c>
      <c r="M5" s="19" t="inlineStr">
        <is>
          <t>8GW gross gain</t>
        </is>
      </c>
      <c r="N5" s="19" t="inlineStr">
        <is>
          <t>Net 8GW EV</t>
        </is>
      </c>
      <c r="O5" s="19" t="inlineStr">
        <is>
          <t>Price delta</t>
        </is>
      </c>
      <c r="P5" s="19" t="inlineStr">
        <is>
          <t>Fixture/role reason</t>
        </is>
      </c>
      <c r="Q5" s="19" t="inlineStr">
        <is>
          <t>Decision</t>
        </is>
      </c>
    </row>
    <row r="6">
      <c r="A6" s="8" t="n"/>
      <c r="B6" s="8" t="n"/>
      <c r="C6" s="8" t="n"/>
      <c r="D6" s="8" t="n"/>
      <c r="E6" s="8" t="n"/>
      <c r="F6" s="5">
        <f>MAX(0,E6-D6)*4</f>
        <v/>
      </c>
      <c r="G6" s="5">
        <f>IFERROR(XLOOKUP(B6,'PLAYER MODEL'!A:A,'PLAYER MODEL'!AD:AD),0)</f>
        <v/>
      </c>
      <c r="H6" s="5">
        <f>IFERROR(XLOOKUP(C6,'PLAYER MODEL'!A:A,'PLAYER MODEL'!AD:AD),0)</f>
        <v/>
      </c>
      <c r="I6" s="5">
        <f>H6-G6</f>
        <v/>
      </c>
      <c r="J6" s="5">
        <f>I6-F6</f>
        <v/>
      </c>
      <c r="K6" s="5">
        <f>IFERROR(XLOOKUP(B6,'PLAYER MODEL'!A:A,'PLAYER MODEL'!AC:AC),0)</f>
        <v/>
      </c>
      <c r="L6" s="5">
        <f>IFERROR(XLOOKUP(C6,'PLAYER MODEL'!A:A,'PLAYER MODEL'!AC:AC),0)</f>
        <v/>
      </c>
      <c r="M6" s="5">
        <f>L6-K6</f>
        <v/>
      </c>
      <c r="N6" s="5">
        <f>M6-F6</f>
        <v/>
      </c>
      <c r="O6" s="5">
        <f>IFERROR(XLOOKUP(C6,'PLAYER MODEL'!A:A,'PLAYER MODEL'!D:D)-XLOOKUP(B6,'PLAYER MODEL'!A:A,'PLAYER MODEL'!D:D),0)</f>
        <v/>
      </c>
      <c r="P6" s="8" t="n"/>
      <c r="Q6" s="5">
        <f>IF(J6&gt;0,"Positive 6GW EV",IF(N6&gt;0,"Positive 8GW EV","No clear EV"))</f>
        <v/>
      </c>
    </row>
    <row r="7">
      <c r="A7" s="8" t="n"/>
      <c r="B7" s="8" t="n"/>
      <c r="C7" s="8" t="n"/>
      <c r="D7" s="8" t="n"/>
      <c r="E7" s="8" t="n"/>
      <c r="F7" s="5">
        <f>MAX(0,E7-D7)*4</f>
        <v/>
      </c>
      <c r="G7" s="5">
        <f>IFERROR(XLOOKUP(B7,'PLAYER MODEL'!A:A,'PLAYER MODEL'!AD:AD),0)</f>
        <v/>
      </c>
      <c r="H7" s="5">
        <f>IFERROR(XLOOKUP(C7,'PLAYER MODEL'!A:A,'PLAYER MODEL'!AD:AD),0)</f>
        <v/>
      </c>
      <c r="I7" s="5">
        <f>H7-G7</f>
        <v/>
      </c>
      <c r="J7" s="5">
        <f>I7-F7</f>
        <v/>
      </c>
      <c r="K7" s="5">
        <f>IFERROR(XLOOKUP(B7,'PLAYER MODEL'!A:A,'PLAYER MODEL'!AC:AC),0)</f>
        <v/>
      </c>
      <c r="L7" s="5">
        <f>IFERROR(XLOOKUP(C7,'PLAYER MODEL'!A:A,'PLAYER MODEL'!AC:AC),0)</f>
        <v/>
      </c>
      <c r="M7" s="5">
        <f>L7-K7</f>
        <v/>
      </c>
      <c r="N7" s="5">
        <f>M7-F7</f>
        <v/>
      </c>
      <c r="O7" s="5">
        <f>IFERROR(XLOOKUP(C7,'PLAYER MODEL'!A:A,'PLAYER MODEL'!D:D)-XLOOKUP(B7,'PLAYER MODEL'!A:A,'PLAYER MODEL'!D:D),0)</f>
        <v/>
      </c>
      <c r="P7" s="8" t="n"/>
      <c r="Q7" s="5">
        <f>IF(J7&gt;0,"Positive 6GW EV",IF(N7&gt;0,"Positive 8GW EV","No clear EV"))</f>
        <v/>
      </c>
    </row>
    <row r="8">
      <c r="A8" s="8" t="n"/>
      <c r="B8" s="8" t="n"/>
      <c r="C8" s="8" t="n"/>
      <c r="D8" s="8" t="n"/>
      <c r="E8" s="8" t="n"/>
      <c r="F8" s="5">
        <f>MAX(0,E8-D8)*4</f>
        <v/>
      </c>
      <c r="G8" s="5">
        <f>IFERROR(XLOOKUP(B8,'PLAYER MODEL'!A:A,'PLAYER MODEL'!AD:AD),0)</f>
        <v/>
      </c>
      <c r="H8" s="5">
        <f>IFERROR(XLOOKUP(C8,'PLAYER MODEL'!A:A,'PLAYER MODEL'!AD:AD),0)</f>
        <v/>
      </c>
      <c r="I8" s="5">
        <f>H8-G8</f>
        <v/>
      </c>
      <c r="J8" s="5">
        <f>I8-F8</f>
        <v/>
      </c>
      <c r="K8" s="5">
        <f>IFERROR(XLOOKUP(B8,'PLAYER MODEL'!A:A,'PLAYER MODEL'!AC:AC),0)</f>
        <v/>
      </c>
      <c r="L8" s="5">
        <f>IFERROR(XLOOKUP(C8,'PLAYER MODEL'!A:A,'PLAYER MODEL'!AC:AC),0)</f>
        <v/>
      </c>
      <c r="M8" s="5">
        <f>L8-K8</f>
        <v/>
      </c>
      <c r="N8" s="5">
        <f>M8-F8</f>
        <v/>
      </c>
      <c r="O8" s="5">
        <f>IFERROR(XLOOKUP(C8,'PLAYER MODEL'!A:A,'PLAYER MODEL'!D:D)-XLOOKUP(B8,'PLAYER MODEL'!A:A,'PLAYER MODEL'!D:D),0)</f>
        <v/>
      </c>
      <c r="P8" s="8" t="n"/>
      <c r="Q8" s="5">
        <f>IF(J8&gt;0,"Positive 6GW EV",IF(N8&gt;0,"Positive 8GW EV","No clear EV"))</f>
        <v/>
      </c>
    </row>
    <row r="9">
      <c r="A9" s="8" t="n"/>
      <c r="B9" s="8" t="n"/>
      <c r="C9" s="8" t="n"/>
      <c r="D9" s="8" t="n"/>
      <c r="E9" s="8" t="n"/>
      <c r="F9" s="5">
        <f>MAX(0,E9-D9)*4</f>
        <v/>
      </c>
      <c r="G9" s="5">
        <f>IFERROR(XLOOKUP(B9,'PLAYER MODEL'!A:A,'PLAYER MODEL'!AD:AD),0)</f>
        <v/>
      </c>
      <c r="H9" s="5">
        <f>IFERROR(XLOOKUP(C9,'PLAYER MODEL'!A:A,'PLAYER MODEL'!AD:AD),0)</f>
        <v/>
      </c>
      <c r="I9" s="5">
        <f>H9-G9</f>
        <v/>
      </c>
      <c r="J9" s="5">
        <f>I9-F9</f>
        <v/>
      </c>
      <c r="K9" s="5">
        <f>IFERROR(XLOOKUP(B9,'PLAYER MODEL'!A:A,'PLAYER MODEL'!AC:AC),0)</f>
        <v/>
      </c>
      <c r="L9" s="5">
        <f>IFERROR(XLOOKUP(C9,'PLAYER MODEL'!A:A,'PLAYER MODEL'!AC:AC),0)</f>
        <v/>
      </c>
      <c r="M9" s="5">
        <f>L9-K9</f>
        <v/>
      </c>
      <c r="N9" s="5">
        <f>M9-F9</f>
        <v/>
      </c>
      <c r="O9" s="5">
        <f>IFERROR(XLOOKUP(C9,'PLAYER MODEL'!A:A,'PLAYER MODEL'!D:D)-XLOOKUP(B9,'PLAYER MODEL'!A:A,'PLAYER MODEL'!D:D),0)</f>
        <v/>
      </c>
      <c r="P9" s="8" t="n"/>
      <c r="Q9" s="5">
        <f>IF(J9&gt;0,"Positive 6GW EV",IF(N9&gt;0,"Positive 8GW EV","No clear EV"))</f>
        <v/>
      </c>
    </row>
    <row r="10">
      <c r="A10" s="8" t="n"/>
      <c r="B10" s="8" t="n"/>
      <c r="C10" s="8" t="n"/>
      <c r="D10" s="8" t="n"/>
      <c r="E10" s="8" t="n"/>
      <c r="F10" s="5">
        <f>MAX(0,E10-D10)*4</f>
        <v/>
      </c>
      <c r="G10" s="5">
        <f>IFERROR(XLOOKUP(B10,'PLAYER MODEL'!A:A,'PLAYER MODEL'!AD:AD),0)</f>
        <v/>
      </c>
      <c r="H10" s="5">
        <f>IFERROR(XLOOKUP(C10,'PLAYER MODEL'!A:A,'PLAYER MODEL'!AD:AD),0)</f>
        <v/>
      </c>
      <c r="I10" s="5">
        <f>H10-G10</f>
        <v/>
      </c>
      <c r="J10" s="5">
        <f>I10-F10</f>
        <v/>
      </c>
      <c r="K10" s="5">
        <f>IFERROR(XLOOKUP(B10,'PLAYER MODEL'!A:A,'PLAYER MODEL'!AC:AC),0)</f>
        <v/>
      </c>
      <c r="L10" s="5">
        <f>IFERROR(XLOOKUP(C10,'PLAYER MODEL'!A:A,'PLAYER MODEL'!AC:AC),0)</f>
        <v/>
      </c>
      <c r="M10" s="5">
        <f>L10-K10</f>
        <v/>
      </c>
      <c r="N10" s="5">
        <f>M10-F10</f>
        <v/>
      </c>
      <c r="O10" s="5">
        <f>IFERROR(XLOOKUP(C10,'PLAYER MODEL'!A:A,'PLAYER MODEL'!D:D)-XLOOKUP(B10,'PLAYER MODEL'!A:A,'PLAYER MODEL'!D:D),0)</f>
        <v/>
      </c>
      <c r="P10" s="8" t="n"/>
      <c r="Q10" s="5">
        <f>IF(J10&gt;0,"Positive 6GW EV",IF(N10&gt;0,"Positive 8GW EV","No clear EV"))</f>
        <v/>
      </c>
    </row>
    <row r="11">
      <c r="A11" s="8" t="n"/>
      <c r="B11" s="8" t="n"/>
      <c r="C11" s="8" t="n"/>
      <c r="D11" s="8" t="n"/>
      <c r="E11" s="8" t="n"/>
      <c r="F11" s="5">
        <f>MAX(0,E11-D11)*4</f>
        <v/>
      </c>
      <c r="G11" s="5">
        <f>IFERROR(XLOOKUP(B11,'PLAYER MODEL'!A:A,'PLAYER MODEL'!AD:AD),0)</f>
        <v/>
      </c>
      <c r="H11" s="5">
        <f>IFERROR(XLOOKUP(C11,'PLAYER MODEL'!A:A,'PLAYER MODEL'!AD:AD),0)</f>
        <v/>
      </c>
      <c r="I11" s="5">
        <f>H11-G11</f>
        <v/>
      </c>
      <c r="J11" s="5">
        <f>I11-F11</f>
        <v/>
      </c>
      <c r="K11" s="5">
        <f>IFERROR(XLOOKUP(B11,'PLAYER MODEL'!A:A,'PLAYER MODEL'!AC:AC),0)</f>
        <v/>
      </c>
      <c r="L11" s="5">
        <f>IFERROR(XLOOKUP(C11,'PLAYER MODEL'!A:A,'PLAYER MODEL'!AC:AC),0)</f>
        <v/>
      </c>
      <c r="M11" s="5">
        <f>L11-K11</f>
        <v/>
      </c>
      <c r="N11" s="5">
        <f>M11-F11</f>
        <v/>
      </c>
      <c r="O11" s="5">
        <f>IFERROR(XLOOKUP(C11,'PLAYER MODEL'!A:A,'PLAYER MODEL'!D:D)-XLOOKUP(B11,'PLAYER MODEL'!A:A,'PLAYER MODEL'!D:D),0)</f>
        <v/>
      </c>
      <c r="P11" s="8" t="n"/>
      <c r="Q11" s="5">
        <f>IF(J11&gt;0,"Positive 6GW EV",IF(N11&gt;0,"Positive 8GW EV","No clear EV"))</f>
        <v/>
      </c>
    </row>
    <row r="12">
      <c r="A12" s="8" t="n"/>
      <c r="B12" s="8" t="n"/>
      <c r="C12" s="8" t="n"/>
      <c r="D12" s="8" t="n"/>
      <c r="E12" s="8" t="n"/>
      <c r="F12" s="5">
        <f>MAX(0,E12-D12)*4</f>
        <v/>
      </c>
      <c r="G12" s="5">
        <f>IFERROR(XLOOKUP(B12,'PLAYER MODEL'!A:A,'PLAYER MODEL'!AD:AD),0)</f>
        <v/>
      </c>
      <c r="H12" s="5">
        <f>IFERROR(XLOOKUP(C12,'PLAYER MODEL'!A:A,'PLAYER MODEL'!AD:AD),0)</f>
        <v/>
      </c>
      <c r="I12" s="5">
        <f>H12-G12</f>
        <v/>
      </c>
      <c r="J12" s="5">
        <f>I12-F12</f>
        <v/>
      </c>
      <c r="K12" s="5">
        <f>IFERROR(XLOOKUP(B12,'PLAYER MODEL'!A:A,'PLAYER MODEL'!AC:AC),0)</f>
        <v/>
      </c>
      <c r="L12" s="5">
        <f>IFERROR(XLOOKUP(C12,'PLAYER MODEL'!A:A,'PLAYER MODEL'!AC:AC),0)</f>
        <v/>
      </c>
      <c r="M12" s="5">
        <f>L12-K12</f>
        <v/>
      </c>
      <c r="N12" s="5">
        <f>M12-F12</f>
        <v/>
      </c>
      <c r="O12" s="5">
        <f>IFERROR(XLOOKUP(C12,'PLAYER MODEL'!A:A,'PLAYER MODEL'!D:D)-XLOOKUP(B12,'PLAYER MODEL'!A:A,'PLAYER MODEL'!D:D),0)</f>
        <v/>
      </c>
      <c r="P12" s="8" t="n"/>
      <c r="Q12" s="5">
        <f>IF(J12&gt;0,"Positive 6GW EV",IF(N12&gt;0,"Positive 8GW EV","No clear EV"))</f>
        <v/>
      </c>
    </row>
    <row r="13">
      <c r="A13" s="8" t="n"/>
      <c r="B13" s="8" t="n"/>
      <c r="C13" s="8" t="n"/>
      <c r="D13" s="8" t="n"/>
      <c r="E13" s="8" t="n"/>
      <c r="F13" s="5">
        <f>MAX(0,E13-D13)*4</f>
        <v/>
      </c>
      <c r="G13" s="5">
        <f>IFERROR(XLOOKUP(B13,'PLAYER MODEL'!A:A,'PLAYER MODEL'!AD:AD),0)</f>
        <v/>
      </c>
      <c r="H13" s="5">
        <f>IFERROR(XLOOKUP(C13,'PLAYER MODEL'!A:A,'PLAYER MODEL'!AD:AD),0)</f>
        <v/>
      </c>
      <c r="I13" s="5">
        <f>H13-G13</f>
        <v/>
      </c>
      <c r="J13" s="5">
        <f>I13-F13</f>
        <v/>
      </c>
      <c r="K13" s="5">
        <f>IFERROR(XLOOKUP(B13,'PLAYER MODEL'!A:A,'PLAYER MODEL'!AC:AC),0)</f>
        <v/>
      </c>
      <c r="L13" s="5">
        <f>IFERROR(XLOOKUP(C13,'PLAYER MODEL'!A:A,'PLAYER MODEL'!AC:AC),0)</f>
        <v/>
      </c>
      <c r="M13" s="5">
        <f>L13-K13</f>
        <v/>
      </c>
      <c r="N13" s="5">
        <f>M13-F13</f>
        <v/>
      </c>
      <c r="O13" s="5">
        <f>IFERROR(XLOOKUP(C13,'PLAYER MODEL'!A:A,'PLAYER MODEL'!D:D)-XLOOKUP(B13,'PLAYER MODEL'!A:A,'PLAYER MODEL'!D:D),0)</f>
        <v/>
      </c>
      <c r="P13" s="8" t="n"/>
      <c r="Q13" s="5">
        <f>IF(J13&gt;0,"Positive 6GW EV",IF(N13&gt;0,"Positive 8GW EV","No clear EV"))</f>
        <v/>
      </c>
    </row>
    <row r="14">
      <c r="A14" s="8" t="n"/>
      <c r="B14" s="8" t="n"/>
      <c r="C14" s="8" t="n"/>
      <c r="D14" s="8" t="n"/>
      <c r="E14" s="8" t="n"/>
      <c r="F14" s="5">
        <f>MAX(0,E14-D14)*4</f>
        <v/>
      </c>
      <c r="G14" s="5">
        <f>IFERROR(XLOOKUP(B14,'PLAYER MODEL'!A:A,'PLAYER MODEL'!AD:AD),0)</f>
        <v/>
      </c>
      <c r="H14" s="5">
        <f>IFERROR(XLOOKUP(C14,'PLAYER MODEL'!A:A,'PLAYER MODEL'!AD:AD),0)</f>
        <v/>
      </c>
      <c r="I14" s="5">
        <f>H14-G14</f>
        <v/>
      </c>
      <c r="J14" s="5">
        <f>I14-F14</f>
        <v/>
      </c>
      <c r="K14" s="5">
        <f>IFERROR(XLOOKUP(B14,'PLAYER MODEL'!A:A,'PLAYER MODEL'!AC:AC),0)</f>
        <v/>
      </c>
      <c r="L14" s="5">
        <f>IFERROR(XLOOKUP(C14,'PLAYER MODEL'!A:A,'PLAYER MODEL'!AC:AC),0)</f>
        <v/>
      </c>
      <c r="M14" s="5">
        <f>L14-K14</f>
        <v/>
      </c>
      <c r="N14" s="5">
        <f>M14-F14</f>
        <v/>
      </c>
      <c r="O14" s="5">
        <f>IFERROR(XLOOKUP(C14,'PLAYER MODEL'!A:A,'PLAYER MODEL'!D:D)-XLOOKUP(B14,'PLAYER MODEL'!A:A,'PLAYER MODEL'!D:D),0)</f>
        <v/>
      </c>
      <c r="P14" s="8" t="n"/>
      <c r="Q14" s="5">
        <f>IF(J14&gt;0,"Positive 6GW EV",IF(N14&gt;0,"Positive 8GW EV","No clear EV"))</f>
        <v/>
      </c>
    </row>
    <row r="15">
      <c r="A15" s="8" t="n"/>
      <c r="B15" s="8" t="n"/>
      <c r="C15" s="8" t="n"/>
      <c r="D15" s="8" t="n"/>
      <c r="E15" s="8" t="n"/>
      <c r="F15" s="5">
        <f>MAX(0,E15-D15)*4</f>
        <v/>
      </c>
      <c r="G15" s="5">
        <f>IFERROR(XLOOKUP(B15,'PLAYER MODEL'!A:A,'PLAYER MODEL'!AD:AD),0)</f>
        <v/>
      </c>
      <c r="H15" s="5">
        <f>IFERROR(XLOOKUP(C15,'PLAYER MODEL'!A:A,'PLAYER MODEL'!AD:AD),0)</f>
        <v/>
      </c>
      <c r="I15" s="5">
        <f>H15-G15</f>
        <v/>
      </c>
      <c r="J15" s="5">
        <f>I15-F15</f>
        <v/>
      </c>
      <c r="K15" s="5">
        <f>IFERROR(XLOOKUP(B15,'PLAYER MODEL'!A:A,'PLAYER MODEL'!AC:AC),0)</f>
        <v/>
      </c>
      <c r="L15" s="5">
        <f>IFERROR(XLOOKUP(C15,'PLAYER MODEL'!A:A,'PLAYER MODEL'!AC:AC),0)</f>
        <v/>
      </c>
      <c r="M15" s="5">
        <f>L15-K15</f>
        <v/>
      </c>
      <c r="N15" s="5">
        <f>M15-F15</f>
        <v/>
      </c>
      <c r="O15" s="5">
        <f>IFERROR(XLOOKUP(C15,'PLAYER MODEL'!A:A,'PLAYER MODEL'!D:D)-XLOOKUP(B15,'PLAYER MODEL'!A:A,'PLAYER MODEL'!D:D),0)</f>
        <v/>
      </c>
      <c r="P15" s="8" t="n"/>
      <c r="Q15" s="5">
        <f>IF(J15&gt;0,"Positive 6GW EV",IF(N15&gt;0,"Positive 8GW EV","No clear EV"))</f>
        <v/>
      </c>
    </row>
    <row r="16">
      <c r="A16" s="8" t="n"/>
      <c r="B16" s="8" t="n"/>
      <c r="C16" s="8" t="n"/>
      <c r="D16" s="8" t="n"/>
      <c r="E16" s="8" t="n"/>
      <c r="F16" s="5">
        <f>MAX(0,E16-D16)*4</f>
        <v/>
      </c>
      <c r="G16" s="5">
        <f>IFERROR(XLOOKUP(B16,'PLAYER MODEL'!A:A,'PLAYER MODEL'!AD:AD),0)</f>
        <v/>
      </c>
      <c r="H16" s="5">
        <f>IFERROR(XLOOKUP(C16,'PLAYER MODEL'!A:A,'PLAYER MODEL'!AD:AD),0)</f>
        <v/>
      </c>
      <c r="I16" s="5">
        <f>H16-G16</f>
        <v/>
      </c>
      <c r="J16" s="5">
        <f>I16-F16</f>
        <v/>
      </c>
      <c r="K16" s="5">
        <f>IFERROR(XLOOKUP(B16,'PLAYER MODEL'!A:A,'PLAYER MODEL'!AC:AC),0)</f>
        <v/>
      </c>
      <c r="L16" s="5">
        <f>IFERROR(XLOOKUP(C16,'PLAYER MODEL'!A:A,'PLAYER MODEL'!AC:AC),0)</f>
        <v/>
      </c>
      <c r="M16" s="5">
        <f>L16-K16</f>
        <v/>
      </c>
      <c r="N16" s="5">
        <f>M16-F16</f>
        <v/>
      </c>
      <c r="O16" s="5">
        <f>IFERROR(XLOOKUP(C16,'PLAYER MODEL'!A:A,'PLAYER MODEL'!D:D)-XLOOKUP(B16,'PLAYER MODEL'!A:A,'PLAYER MODEL'!D:D),0)</f>
        <v/>
      </c>
      <c r="P16" s="8" t="n"/>
      <c r="Q16" s="5">
        <f>IF(J16&gt;0,"Positive 6GW EV",IF(N16&gt;0,"Positive 8GW EV","No clear EV"))</f>
        <v/>
      </c>
    </row>
    <row r="17">
      <c r="A17" s="8" t="n"/>
      <c r="B17" s="8" t="n"/>
      <c r="C17" s="8" t="n"/>
      <c r="D17" s="8" t="n"/>
      <c r="E17" s="8" t="n"/>
      <c r="F17" s="5">
        <f>MAX(0,E17-D17)*4</f>
        <v/>
      </c>
      <c r="G17" s="5">
        <f>IFERROR(XLOOKUP(B17,'PLAYER MODEL'!A:A,'PLAYER MODEL'!AD:AD),0)</f>
        <v/>
      </c>
      <c r="H17" s="5">
        <f>IFERROR(XLOOKUP(C17,'PLAYER MODEL'!A:A,'PLAYER MODEL'!AD:AD),0)</f>
        <v/>
      </c>
      <c r="I17" s="5">
        <f>H17-G17</f>
        <v/>
      </c>
      <c r="J17" s="5">
        <f>I17-F17</f>
        <v/>
      </c>
      <c r="K17" s="5">
        <f>IFERROR(XLOOKUP(B17,'PLAYER MODEL'!A:A,'PLAYER MODEL'!AC:AC),0)</f>
        <v/>
      </c>
      <c r="L17" s="5">
        <f>IFERROR(XLOOKUP(C17,'PLAYER MODEL'!A:A,'PLAYER MODEL'!AC:AC),0)</f>
        <v/>
      </c>
      <c r="M17" s="5">
        <f>L17-K17</f>
        <v/>
      </c>
      <c r="N17" s="5">
        <f>M17-F17</f>
        <v/>
      </c>
      <c r="O17" s="5">
        <f>IFERROR(XLOOKUP(C17,'PLAYER MODEL'!A:A,'PLAYER MODEL'!D:D)-XLOOKUP(B17,'PLAYER MODEL'!A:A,'PLAYER MODEL'!D:D),0)</f>
        <v/>
      </c>
      <c r="P17" s="8" t="n"/>
      <c r="Q17" s="5">
        <f>IF(J17&gt;0,"Positive 6GW EV",IF(N17&gt;0,"Positive 8GW EV","No clear EV"))</f>
        <v/>
      </c>
    </row>
    <row r="18">
      <c r="A18" s="8" t="n"/>
      <c r="B18" s="8" t="n"/>
      <c r="C18" s="8" t="n"/>
      <c r="D18" s="8" t="n"/>
      <c r="E18" s="8" t="n"/>
      <c r="F18" s="5">
        <f>MAX(0,E18-D18)*4</f>
        <v/>
      </c>
      <c r="G18" s="5">
        <f>IFERROR(XLOOKUP(B18,'PLAYER MODEL'!A:A,'PLAYER MODEL'!AD:AD),0)</f>
        <v/>
      </c>
      <c r="H18" s="5">
        <f>IFERROR(XLOOKUP(C18,'PLAYER MODEL'!A:A,'PLAYER MODEL'!AD:AD),0)</f>
        <v/>
      </c>
      <c r="I18" s="5">
        <f>H18-G18</f>
        <v/>
      </c>
      <c r="J18" s="5">
        <f>I18-F18</f>
        <v/>
      </c>
      <c r="K18" s="5">
        <f>IFERROR(XLOOKUP(B18,'PLAYER MODEL'!A:A,'PLAYER MODEL'!AC:AC),0)</f>
        <v/>
      </c>
      <c r="L18" s="5">
        <f>IFERROR(XLOOKUP(C18,'PLAYER MODEL'!A:A,'PLAYER MODEL'!AC:AC),0)</f>
        <v/>
      </c>
      <c r="M18" s="5">
        <f>L18-K18</f>
        <v/>
      </c>
      <c r="N18" s="5">
        <f>M18-F18</f>
        <v/>
      </c>
      <c r="O18" s="5">
        <f>IFERROR(XLOOKUP(C18,'PLAYER MODEL'!A:A,'PLAYER MODEL'!D:D)-XLOOKUP(B18,'PLAYER MODEL'!A:A,'PLAYER MODEL'!D:D),0)</f>
        <v/>
      </c>
      <c r="P18" s="8" t="n"/>
      <c r="Q18" s="5">
        <f>IF(J18&gt;0,"Positive 6GW EV",IF(N18&gt;0,"Positive 8GW EV","No clear EV"))</f>
        <v/>
      </c>
    </row>
    <row r="19">
      <c r="A19" s="8" t="n"/>
      <c r="B19" s="8" t="n"/>
      <c r="C19" s="8" t="n"/>
      <c r="D19" s="8" t="n"/>
      <c r="E19" s="8" t="n"/>
      <c r="F19" s="5">
        <f>MAX(0,E19-D19)*4</f>
        <v/>
      </c>
      <c r="G19" s="5">
        <f>IFERROR(XLOOKUP(B19,'PLAYER MODEL'!A:A,'PLAYER MODEL'!AD:AD),0)</f>
        <v/>
      </c>
      <c r="H19" s="5">
        <f>IFERROR(XLOOKUP(C19,'PLAYER MODEL'!A:A,'PLAYER MODEL'!AD:AD),0)</f>
        <v/>
      </c>
      <c r="I19" s="5">
        <f>H19-G19</f>
        <v/>
      </c>
      <c r="J19" s="5">
        <f>I19-F19</f>
        <v/>
      </c>
      <c r="K19" s="5">
        <f>IFERROR(XLOOKUP(B19,'PLAYER MODEL'!A:A,'PLAYER MODEL'!AC:AC),0)</f>
        <v/>
      </c>
      <c r="L19" s="5">
        <f>IFERROR(XLOOKUP(C19,'PLAYER MODEL'!A:A,'PLAYER MODEL'!AC:AC),0)</f>
        <v/>
      </c>
      <c r="M19" s="5">
        <f>L19-K19</f>
        <v/>
      </c>
      <c r="N19" s="5">
        <f>M19-F19</f>
        <v/>
      </c>
      <c r="O19" s="5">
        <f>IFERROR(XLOOKUP(C19,'PLAYER MODEL'!A:A,'PLAYER MODEL'!D:D)-XLOOKUP(B19,'PLAYER MODEL'!A:A,'PLAYER MODEL'!D:D),0)</f>
        <v/>
      </c>
      <c r="P19" s="8" t="n"/>
      <c r="Q19" s="5">
        <f>IF(J19&gt;0,"Positive 6GW EV",IF(N19&gt;0,"Positive 8GW EV","No clear EV"))</f>
        <v/>
      </c>
    </row>
    <row r="20">
      <c r="A20" s="8" t="n"/>
      <c r="B20" s="8" t="n"/>
      <c r="C20" s="8" t="n"/>
      <c r="D20" s="8" t="n"/>
      <c r="E20" s="8" t="n"/>
      <c r="F20" s="5">
        <f>MAX(0,E20-D20)*4</f>
        <v/>
      </c>
      <c r="G20" s="5">
        <f>IFERROR(XLOOKUP(B20,'PLAYER MODEL'!A:A,'PLAYER MODEL'!AD:AD),0)</f>
        <v/>
      </c>
      <c r="H20" s="5">
        <f>IFERROR(XLOOKUP(C20,'PLAYER MODEL'!A:A,'PLAYER MODEL'!AD:AD),0)</f>
        <v/>
      </c>
      <c r="I20" s="5">
        <f>H20-G20</f>
        <v/>
      </c>
      <c r="J20" s="5">
        <f>I20-F20</f>
        <v/>
      </c>
      <c r="K20" s="5">
        <f>IFERROR(XLOOKUP(B20,'PLAYER MODEL'!A:A,'PLAYER MODEL'!AC:AC),0)</f>
        <v/>
      </c>
      <c r="L20" s="5">
        <f>IFERROR(XLOOKUP(C20,'PLAYER MODEL'!A:A,'PLAYER MODEL'!AC:AC),0)</f>
        <v/>
      </c>
      <c r="M20" s="5">
        <f>L20-K20</f>
        <v/>
      </c>
      <c r="N20" s="5">
        <f>M20-F20</f>
        <v/>
      </c>
      <c r="O20" s="5">
        <f>IFERROR(XLOOKUP(C20,'PLAYER MODEL'!A:A,'PLAYER MODEL'!D:D)-XLOOKUP(B20,'PLAYER MODEL'!A:A,'PLAYER MODEL'!D:D),0)</f>
        <v/>
      </c>
      <c r="P20" s="8" t="n"/>
      <c r="Q20" s="5">
        <f>IF(J20&gt;0,"Positive 6GW EV",IF(N20&gt;0,"Positive 8GW EV","No clear EV"))</f>
        <v/>
      </c>
    </row>
    <row r="21">
      <c r="A21" s="8" t="n"/>
      <c r="B21" s="8" t="n"/>
      <c r="C21" s="8" t="n"/>
      <c r="D21" s="8" t="n"/>
      <c r="E21" s="8" t="n"/>
      <c r="F21" s="5">
        <f>MAX(0,E21-D21)*4</f>
        <v/>
      </c>
      <c r="G21" s="5">
        <f>IFERROR(XLOOKUP(B21,'PLAYER MODEL'!A:A,'PLAYER MODEL'!AD:AD),0)</f>
        <v/>
      </c>
      <c r="H21" s="5">
        <f>IFERROR(XLOOKUP(C21,'PLAYER MODEL'!A:A,'PLAYER MODEL'!AD:AD),0)</f>
        <v/>
      </c>
      <c r="I21" s="5">
        <f>H21-G21</f>
        <v/>
      </c>
      <c r="J21" s="5">
        <f>I21-F21</f>
        <v/>
      </c>
      <c r="K21" s="5">
        <f>IFERROR(XLOOKUP(B21,'PLAYER MODEL'!A:A,'PLAYER MODEL'!AC:AC),0)</f>
        <v/>
      </c>
      <c r="L21" s="5">
        <f>IFERROR(XLOOKUP(C21,'PLAYER MODEL'!A:A,'PLAYER MODEL'!AC:AC),0)</f>
        <v/>
      </c>
      <c r="M21" s="5">
        <f>L21-K21</f>
        <v/>
      </c>
      <c r="N21" s="5">
        <f>M21-F21</f>
        <v/>
      </c>
      <c r="O21" s="5">
        <f>IFERROR(XLOOKUP(C21,'PLAYER MODEL'!A:A,'PLAYER MODEL'!D:D)-XLOOKUP(B21,'PLAYER MODEL'!A:A,'PLAYER MODEL'!D:D),0)</f>
        <v/>
      </c>
      <c r="P21" s="8" t="n"/>
      <c r="Q21" s="5">
        <f>IF(J21&gt;0,"Positive 6GW EV",IF(N21&gt;0,"Positive 8GW EV","No clear EV"))</f>
        <v/>
      </c>
    </row>
    <row r="22">
      <c r="A22" s="8" t="n"/>
      <c r="B22" s="8" t="n"/>
      <c r="C22" s="8" t="n"/>
      <c r="D22" s="8" t="n"/>
      <c r="E22" s="8" t="n"/>
      <c r="F22" s="5">
        <f>MAX(0,E22-D22)*4</f>
        <v/>
      </c>
      <c r="G22" s="5">
        <f>IFERROR(XLOOKUP(B22,'PLAYER MODEL'!A:A,'PLAYER MODEL'!AD:AD),0)</f>
        <v/>
      </c>
      <c r="H22" s="5">
        <f>IFERROR(XLOOKUP(C22,'PLAYER MODEL'!A:A,'PLAYER MODEL'!AD:AD),0)</f>
        <v/>
      </c>
      <c r="I22" s="5">
        <f>H22-G22</f>
        <v/>
      </c>
      <c r="J22" s="5">
        <f>I22-F22</f>
        <v/>
      </c>
      <c r="K22" s="5">
        <f>IFERROR(XLOOKUP(B22,'PLAYER MODEL'!A:A,'PLAYER MODEL'!AC:AC),0)</f>
        <v/>
      </c>
      <c r="L22" s="5">
        <f>IFERROR(XLOOKUP(C22,'PLAYER MODEL'!A:A,'PLAYER MODEL'!AC:AC),0)</f>
        <v/>
      </c>
      <c r="M22" s="5">
        <f>L22-K22</f>
        <v/>
      </c>
      <c r="N22" s="5">
        <f>M22-F22</f>
        <v/>
      </c>
      <c r="O22" s="5">
        <f>IFERROR(XLOOKUP(C22,'PLAYER MODEL'!A:A,'PLAYER MODEL'!D:D)-XLOOKUP(B22,'PLAYER MODEL'!A:A,'PLAYER MODEL'!D:D),0)</f>
        <v/>
      </c>
      <c r="P22" s="8" t="n"/>
      <c r="Q22" s="5">
        <f>IF(J22&gt;0,"Positive 6GW EV",IF(N22&gt;0,"Positive 8GW EV","No clear EV"))</f>
        <v/>
      </c>
    </row>
    <row r="23">
      <c r="A23" s="8" t="n"/>
      <c r="B23" s="8" t="n"/>
      <c r="C23" s="8" t="n"/>
      <c r="D23" s="8" t="n"/>
      <c r="E23" s="8" t="n"/>
      <c r="F23" s="5">
        <f>MAX(0,E23-D23)*4</f>
        <v/>
      </c>
      <c r="G23" s="5">
        <f>IFERROR(XLOOKUP(B23,'PLAYER MODEL'!A:A,'PLAYER MODEL'!AD:AD),0)</f>
        <v/>
      </c>
      <c r="H23" s="5">
        <f>IFERROR(XLOOKUP(C23,'PLAYER MODEL'!A:A,'PLAYER MODEL'!AD:AD),0)</f>
        <v/>
      </c>
      <c r="I23" s="5">
        <f>H23-G23</f>
        <v/>
      </c>
      <c r="J23" s="5">
        <f>I23-F23</f>
        <v/>
      </c>
      <c r="K23" s="5">
        <f>IFERROR(XLOOKUP(B23,'PLAYER MODEL'!A:A,'PLAYER MODEL'!AC:AC),0)</f>
        <v/>
      </c>
      <c r="L23" s="5">
        <f>IFERROR(XLOOKUP(C23,'PLAYER MODEL'!A:A,'PLAYER MODEL'!AC:AC),0)</f>
        <v/>
      </c>
      <c r="M23" s="5">
        <f>L23-K23</f>
        <v/>
      </c>
      <c r="N23" s="5">
        <f>M23-F23</f>
        <v/>
      </c>
      <c r="O23" s="5">
        <f>IFERROR(XLOOKUP(C23,'PLAYER MODEL'!A:A,'PLAYER MODEL'!D:D)-XLOOKUP(B23,'PLAYER MODEL'!A:A,'PLAYER MODEL'!D:D),0)</f>
        <v/>
      </c>
      <c r="P23" s="8" t="n"/>
      <c r="Q23" s="5">
        <f>IF(J23&gt;0,"Positive 6GW EV",IF(N23&gt;0,"Positive 8GW EV","No clear EV"))</f>
        <v/>
      </c>
    </row>
    <row r="24">
      <c r="A24" s="8" t="n"/>
      <c r="B24" s="8" t="n"/>
      <c r="C24" s="8" t="n"/>
      <c r="D24" s="8" t="n"/>
      <c r="E24" s="8" t="n"/>
      <c r="F24" s="5">
        <f>MAX(0,E24-D24)*4</f>
        <v/>
      </c>
      <c r="G24" s="5">
        <f>IFERROR(XLOOKUP(B24,'PLAYER MODEL'!A:A,'PLAYER MODEL'!AD:AD),0)</f>
        <v/>
      </c>
      <c r="H24" s="5">
        <f>IFERROR(XLOOKUP(C24,'PLAYER MODEL'!A:A,'PLAYER MODEL'!AD:AD),0)</f>
        <v/>
      </c>
      <c r="I24" s="5">
        <f>H24-G24</f>
        <v/>
      </c>
      <c r="J24" s="5">
        <f>I24-F24</f>
        <v/>
      </c>
      <c r="K24" s="5">
        <f>IFERROR(XLOOKUP(B24,'PLAYER MODEL'!A:A,'PLAYER MODEL'!AC:AC),0)</f>
        <v/>
      </c>
      <c r="L24" s="5">
        <f>IFERROR(XLOOKUP(C24,'PLAYER MODEL'!A:A,'PLAYER MODEL'!AC:AC),0)</f>
        <v/>
      </c>
      <c r="M24" s="5">
        <f>L24-K24</f>
        <v/>
      </c>
      <c r="N24" s="5">
        <f>M24-F24</f>
        <v/>
      </c>
      <c r="O24" s="5">
        <f>IFERROR(XLOOKUP(C24,'PLAYER MODEL'!A:A,'PLAYER MODEL'!D:D)-XLOOKUP(B24,'PLAYER MODEL'!A:A,'PLAYER MODEL'!D:D),0)</f>
        <v/>
      </c>
      <c r="P24" s="8" t="n"/>
      <c r="Q24" s="5">
        <f>IF(J24&gt;0,"Positive 6GW EV",IF(N24&gt;0,"Positive 8GW EV","No clear EV"))</f>
        <v/>
      </c>
    </row>
    <row r="25">
      <c r="A25" s="8" t="n"/>
      <c r="B25" s="8" t="n"/>
      <c r="C25" s="8" t="n"/>
      <c r="D25" s="8" t="n"/>
      <c r="E25" s="8" t="n"/>
      <c r="F25" s="5">
        <f>MAX(0,E25-D25)*4</f>
        <v/>
      </c>
      <c r="G25" s="5">
        <f>IFERROR(XLOOKUP(B25,'PLAYER MODEL'!A:A,'PLAYER MODEL'!AD:AD),0)</f>
        <v/>
      </c>
      <c r="H25" s="5">
        <f>IFERROR(XLOOKUP(C25,'PLAYER MODEL'!A:A,'PLAYER MODEL'!AD:AD),0)</f>
        <v/>
      </c>
      <c r="I25" s="5">
        <f>H25-G25</f>
        <v/>
      </c>
      <c r="J25" s="5">
        <f>I25-F25</f>
        <v/>
      </c>
      <c r="K25" s="5">
        <f>IFERROR(XLOOKUP(B25,'PLAYER MODEL'!A:A,'PLAYER MODEL'!AC:AC),0)</f>
        <v/>
      </c>
      <c r="L25" s="5">
        <f>IFERROR(XLOOKUP(C25,'PLAYER MODEL'!A:A,'PLAYER MODEL'!AC:AC),0)</f>
        <v/>
      </c>
      <c r="M25" s="5">
        <f>L25-K25</f>
        <v/>
      </c>
      <c r="N25" s="5">
        <f>M25-F25</f>
        <v/>
      </c>
      <c r="O25" s="5">
        <f>IFERROR(XLOOKUP(C25,'PLAYER MODEL'!A:A,'PLAYER MODEL'!D:D)-XLOOKUP(B25,'PLAYER MODEL'!A:A,'PLAYER MODEL'!D:D),0)</f>
        <v/>
      </c>
      <c r="P25" s="8" t="n"/>
      <c r="Q25" s="5">
        <f>IF(J25&gt;0,"Positive 6GW EV",IF(N25&gt;0,"Positive 8GW EV","No clear EV"))</f>
        <v/>
      </c>
    </row>
    <row r="26">
      <c r="A26" s="8" t="n"/>
      <c r="B26" s="8" t="n"/>
      <c r="C26" s="8" t="n"/>
      <c r="D26" s="8" t="n"/>
      <c r="E26" s="8" t="n"/>
      <c r="F26" s="5">
        <f>MAX(0,E26-D26)*4</f>
        <v/>
      </c>
      <c r="G26" s="5">
        <f>IFERROR(XLOOKUP(B26,'PLAYER MODEL'!A:A,'PLAYER MODEL'!AD:AD),0)</f>
        <v/>
      </c>
      <c r="H26" s="5">
        <f>IFERROR(XLOOKUP(C26,'PLAYER MODEL'!A:A,'PLAYER MODEL'!AD:AD),0)</f>
        <v/>
      </c>
      <c r="I26" s="5">
        <f>H26-G26</f>
        <v/>
      </c>
      <c r="J26" s="5">
        <f>I26-F26</f>
        <v/>
      </c>
      <c r="K26" s="5">
        <f>IFERROR(XLOOKUP(B26,'PLAYER MODEL'!A:A,'PLAYER MODEL'!AC:AC),0)</f>
        <v/>
      </c>
      <c r="L26" s="5">
        <f>IFERROR(XLOOKUP(C26,'PLAYER MODEL'!A:A,'PLAYER MODEL'!AC:AC),0)</f>
        <v/>
      </c>
      <c r="M26" s="5">
        <f>L26-K26</f>
        <v/>
      </c>
      <c r="N26" s="5">
        <f>M26-F26</f>
        <v/>
      </c>
      <c r="O26" s="5">
        <f>IFERROR(XLOOKUP(C26,'PLAYER MODEL'!A:A,'PLAYER MODEL'!D:D)-XLOOKUP(B26,'PLAYER MODEL'!A:A,'PLAYER MODEL'!D:D),0)</f>
        <v/>
      </c>
      <c r="P26" s="8" t="n"/>
      <c r="Q26" s="5">
        <f>IF(J26&gt;0,"Positive 6GW EV",IF(N26&gt;0,"Positive 8GW EV","No clear EV"))</f>
        <v/>
      </c>
    </row>
    <row r="27">
      <c r="A27" s="8" t="n"/>
      <c r="B27" s="8" t="n"/>
      <c r="C27" s="8" t="n"/>
      <c r="D27" s="8" t="n"/>
      <c r="E27" s="8" t="n"/>
      <c r="F27" s="5">
        <f>MAX(0,E27-D27)*4</f>
        <v/>
      </c>
      <c r="G27" s="5">
        <f>IFERROR(XLOOKUP(B27,'PLAYER MODEL'!A:A,'PLAYER MODEL'!AD:AD),0)</f>
        <v/>
      </c>
      <c r="H27" s="5">
        <f>IFERROR(XLOOKUP(C27,'PLAYER MODEL'!A:A,'PLAYER MODEL'!AD:AD),0)</f>
        <v/>
      </c>
      <c r="I27" s="5">
        <f>H27-G27</f>
        <v/>
      </c>
      <c r="J27" s="5">
        <f>I27-F27</f>
        <v/>
      </c>
      <c r="K27" s="5">
        <f>IFERROR(XLOOKUP(B27,'PLAYER MODEL'!A:A,'PLAYER MODEL'!AC:AC),0)</f>
        <v/>
      </c>
      <c r="L27" s="5">
        <f>IFERROR(XLOOKUP(C27,'PLAYER MODEL'!A:A,'PLAYER MODEL'!AC:AC),0)</f>
        <v/>
      </c>
      <c r="M27" s="5">
        <f>L27-K27</f>
        <v/>
      </c>
      <c r="N27" s="5">
        <f>M27-F27</f>
        <v/>
      </c>
      <c r="O27" s="5">
        <f>IFERROR(XLOOKUP(C27,'PLAYER MODEL'!A:A,'PLAYER MODEL'!D:D)-XLOOKUP(B27,'PLAYER MODEL'!A:A,'PLAYER MODEL'!D:D),0)</f>
        <v/>
      </c>
      <c r="P27" s="8" t="n"/>
      <c r="Q27" s="5">
        <f>IF(J27&gt;0,"Positive 6GW EV",IF(N27&gt;0,"Positive 8GW EV","No clear EV"))</f>
        <v/>
      </c>
    </row>
    <row r="28">
      <c r="A28" s="8" t="n"/>
      <c r="B28" s="8" t="n"/>
      <c r="C28" s="8" t="n"/>
      <c r="D28" s="8" t="n"/>
      <c r="E28" s="8" t="n"/>
      <c r="F28" s="5">
        <f>MAX(0,E28-D28)*4</f>
        <v/>
      </c>
      <c r="G28" s="5">
        <f>IFERROR(XLOOKUP(B28,'PLAYER MODEL'!A:A,'PLAYER MODEL'!AD:AD),0)</f>
        <v/>
      </c>
      <c r="H28" s="5">
        <f>IFERROR(XLOOKUP(C28,'PLAYER MODEL'!A:A,'PLAYER MODEL'!AD:AD),0)</f>
        <v/>
      </c>
      <c r="I28" s="5">
        <f>H28-G28</f>
        <v/>
      </c>
      <c r="J28" s="5">
        <f>I28-F28</f>
        <v/>
      </c>
      <c r="K28" s="5">
        <f>IFERROR(XLOOKUP(B28,'PLAYER MODEL'!A:A,'PLAYER MODEL'!AC:AC),0)</f>
        <v/>
      </c>
      <c r="L28" s="5">
        <f>IFERROR(XLOOKUP(C28,'PLAYER MODEL'!A:A,'PLAYER MODEL'!AC:AC),0)</f>
        <v/>
      </c>
      <c r="M28" s="5">
        <f>L28-K28</f>
        <v/>
      </c>
      <c r="N28" s="5">
        <f>M28-F28</f>
        <v/>
      </c>
      <c r="O28" s="5">
        <f>IFERROR(XLOOKUP(C28,'PLAYER MODEL'!A:A,'PLAYER MODEL'!D:D)-XLOOKUP(B28,'PLAYER MODEL'!A:A,'PLAYER MODEL'!D:D),0)</f>
        <v/>
      </c>
      <c r="P28" s="8" t="n"/>
      <c r="Q28" s="5">
        <f>IF(J28&gt;0,"Positive 6GW EV",IF(N28&gt;0,"Positive 8GW EV","No clear EV"))</f>
        <v/>
      </c>
    </row>
    <row r="29">
      <c r="A29" s="8" t="n"/>
      <c r="B29" s="8" t="n"/>
      <c r="C29" s="8" t="n"/>
      <c r="D29" s="8" t="n"/>
      <c r="E29" s="8" t="n"/>
      <c r="F29" s="5">
        <f>MAX(0,E29-D29)*4</f>
        <v/>
      </c>
      <c r="G29" s="5">
        <f>IFERROR(XLOOKUP(B29,'PLAYER MODEL'!A:A,'PLAYER MODEL'!AD:AD),0)</f>
        <v/>
      </c>
      <c r="H29" s="5">
        <f>IFERROR(XLOOKUP(C29,'PLAYER MODEL'!A:A,'PLAYER MODEL'!AD:AD),0)</f>
        <v/>
      </c>
      <c r="I29" s="5">
        <f>H29-G29</f>
        <v/>
      </c>
      <c r="J29" s="5">
        <f>I29-F29</f>
        <v/>
      </c>
      <c r="K29" s="5">
        <f>IFERROR(XLOOKUP(B29,'PLAYER MODEL'!A:A,'PLAYER MODEL'!AC:AC),0)</f>
        <v/>
      </c>
      <c r="L29" s="5">
        <f>IFERROR(XLOOKUP(C29,'PLAYER MODEL'!A:A,'PLAYER MODEL'!AC:AC),0)</f>
        <v/>
      </c>
      <c r="M29" s="5">
        <f>L29-K29</f>
        <v/>
      </c>
      <c r="N29" s="5">
        <f>M29-F29</f>
        <v/>
      </c>
      <c r="O29" s="5">
        <f>IFERROR(XLOOKUP(C29,'PLAYER MODEL'!A:A,'PLAYER MODEL'!D:D)-XLOOKUP(B29,'PLAYER MODEL'!A:A,'PLAYER MODEL'!D:D),0)</f>
        <v/>
      </c>
      <c r="P29" s="8" t="n"/>
      <c r="Q29" s="5">
        <f>IF(J29&gt;0,"Positive 6GW EV",IF(N29&gt;0,"Positive 8GW EV","No clear EV"))</f>
        <v/>
      </c>
    </row>
    <row r="30">
      <c r="A30" s="8" t="n"/>
      <c r="B30" s="8" t="n"/>
      <c r="C30" s="8" t="n"/>
      <c r="D30" s="8" t="n"/>
      <c r="E30" s="8" t="n"/>
      <c r="F30" s="5">
        <f>MAX(0,E30-D30)*4</f>
        <v/>
      </c>
      <c r="G30" s="5">
        <f>IFERROR(XLOOKUP(B30,'PLAYER MODEL'!A:A,'PLAYER MODEL'!AD:AD),0)</f>
        <v/>
      </c>
      <c r="H30" s="5">
        <f>IFERROR(XLOOKUP(C30,'PLAYER MODEL'!A:A,'PLAYER MODEL'!AD:AD),0)</f>
        <v/>
      </c>
      <c r="I30" s="5">
        <f>H30-G30</f>
        <v/>
      </c>
      <c r="J30" s="5">
        <f>I30-F30</f>
        <v/>
      </c>
      <c r="K30" s="5">
        <f>IFERROR(XLOOKUP(B30,'PLAYER MODEL'!A:A,'PLAYER MODEL'!AC:AC),0)</f>
        <v/>
      </c>
      <c r="L30" s="5">
        <f>IFERROR(XLOOKUP(C30,'PLAYER MODEL'!A:A,'PLAYER MODEL'!AC:AC),0)</f>
        <v/>
      </c>
      <c r="M30" s="5">
        <f>L30-K30</f>
        <v/>
      </c>
      <c r="N30" s="5">
        <f>M30-F30</f>
        <v/>
      </c>
      <c r="O30" s="5">
        <f>IFERROR(XLOOKUP(C30,'PLAYER MODEL'!A:A,'PLAYER MODEL'!D:D)-XLOOKUP(B30,'PLAYER MODEL'!A:A,'PLAYER MODEL'!D:D),0)</f>
        <v/>
      </c>
      <c r="P30" s="8" t="n"/>
      <c r="Q30" s="5">
        <f>IF(J30&gt;0,"Positive 6GW EV",IF(N30&gt;0,"Positive 8GW EV","No clear EV"))</f>
        <v/>
      </c>
    </row>
    <row r="31">
      <c r="A31" s="8" t="n"/>
      <c r="B31" s="8" t="n"/>
      <c r="C31" s="8" t="n"/>
      <c r="D31" s="8" t="n"/>
      <c r="E31" s="8" t="n"/>
      <c r="F31" s="5">
        <f>MAX(0,E31-D31)*4</f>
        <v/>
      </c>
      <c r="G31" s="5">
        <f>IFERROR(XLOOKUP(B31,'PLAYER MODEL'!A:A,'PLAYER MODEL'!AD:AD),0)</f>
        <v/>
      </c>
      <c r="H31" s="5">
        <f>IFERROR(XLOOKUP(C31,'PLAYER MODEL'!A:A,'PLAYER MODEL'!AD:AD),0)</f>
        <v/>
      </c>
      <c r="I31" s="5">
        <f>H31-G31</f>
        <v/>
      </c>
      <c r="J31" s="5">
        <f>I31-F31</f>
        <v/>
      </c>
      <c r="K31" s="5">
        <f>IFERROR(XLOOKUP(B31,'PLAYER MODEL'!A:A,'PLAYER MODEL'!AC:AC),0)</f>
        <v/>
      </c>
      <c r="L31" s="5">
        <f>IFERROR(XLOOKUP(C31,'PLAYER MODEL'!A:A,'PLAYER MODEL'!AC:AC),0)</f>
        <v/>
      </c>
      <c r="M31" s="5">
        <f>L31-K31</f>
        <v/>
      </c>
      <c r="N31" s="5">
        <f>M31-F31</f>
        <v/>
      </c>
      <c r="O31" s="5">
        <f>IFERROR(XLOOKUP(C31,'PLAYER MODEL'!A:A,'PLAYER MODEL'!D:D)-XLOOKUP(B31,'PLAYER MODEL'!A:A,'PLAYER MODEL'!D:D),0)</f>
        <v/>
      </c>
      <c r="P31" s="8" t="n"/>
      <c r="Q31" s="5">
        <f>IF(J31&gt;0,"Positive 6GW EV",IF(N31&gt;0,"Positive 8GW EV","No clear EV"))</f>
        <v/>
      </c>
    </row>
    <row r="32">
      <c r="A32" s="8" t="n"/>
      <c r="B32" s="8" t="n"/>
      <c r="C32" s="8" t="n"/>
      <c r="D32" s="8" t="n"/>
      <c r="E32" s="8" t="n"/>
      <c r="F32" s="5">
        <f>MAX(0,E32-D32)*4</f>
        <v/>
      </c>
      <c r="G32" s="5">
        <f>IFERROR(XLOOKUP(B32,'PLAYER MODEL'!A:A,'PLAYER MODEL'!AD:AD),0)</f>
        <v/>
      </c>
      <c r="H32" s="5">
        <f>IFERROR(XLOOKUP(C32,'PLAYER MODEL'!A:A,'PLAYER MODEL'!AD:AD),0)</f>
        <v/>
      </c>
      <c r="I32" s="5">
        <f>H32-G32</f>
        <v/>
      </c>
      <c r="J32" s="5">
        <f>I32-F32</f>
        <v/>
      </c>
      <c r="K32" s="5">
        <f>IFERROR(XLOOKUP(B32,'PLAYER MODEL'!A:A,'PLAYER MODEL'!AC:AC),0)</f>
        <v/>
      </c>
      <c r="L32" s="5">
        <f>IFERROR(XLOOKUP(C32,'PLAYER MODEL'!A:A,'PLAYER MODEL'!AC:AC),0)</f>
        <v/>
      </c>
      <c r="M32" s="5">
        <f>L32-K32</f>
        <v/>
      </c>
      <c r="N32" s="5">
        <f>M32-F32</f>
        <v/>
      </c>
      <c r="O32" s="5">
        <f>IFERROR(XLOOKUP(C32,'PLAYER MODEL'!A:A,'PLAYER MODEL'!D:D)-XLOOKUP(B32,'PLAYER MODEL'!A:A,'PLAYER MODEL'!D:D),0)</f>
        <v/>
      </c>
      <c r="P32" s="8" t="n"/>
      <c r="Q32" s="5">
        <f>IF(J32&gt;0,"Positive 6GW EV",IF(N32&gt;0,"Positive 8GW EV","No clear EV"))</f>
        <v/>
      </c>
    </row>
    <row r="33">
      <c r="A33" s="8" t="n"/>
      <c r="B33" s="8" t="n"/>
      <c r="C33" s="8" t="n"/>
      <c r="D33" s="8" t="n"/>
      <c r="E33" s="8" t="n"/>
      <c r="F33" s="5">
        <f>MAX(0,E33-D33)*4</f>
        <v/>
      </c>
      <c r="G33" s="5">
        <f>IFERROR(XLOOKUP(B33,'PLAYER MODEL'!A:A,'PLAYER MODEL'!AD:AD),0)</f>
        <v/>
      </c>
      <c r="H33" s="5">
        <f>IFERROR(XLOOKUP(C33,'PLAYER MODEL'!A:A,'PLAYER MODEL'!AD:AD),0)</f>
        <v/>
      </c>
      <c r="I33" s="5">
        <f>H33-G33</f>
        <v/>
      </c>
      <c r="J33" s="5">
        <f>I33-F33</f>
        <v/>
      </c>
      <c r="K33" s="5">
        <f>IFERROR(XLOOKUP(B33,'PLAYER MODEL'!A:A,'PLAYER MODEL'!AC:AC),0)</f>
        <v/>
      </c>
      <c r="L33" s="5">
        <f>IFERROR(XLOOKUP(C33,'PLAYER MODEL'!A:A,'PLAYER MODEL'!AC:AC),0)</f>
        <v/>
      </c>
      <c r="M33" s="5">
        <f>L33-K33</f>
        <v/>
      </c>
      <c r="N33" s="5">
        <f>M33-F33</f>
        <v/>
      </c>
      <c r="O33" s="5">
        <f>IFERROR(XLOOKUP(C33,'PLAYER MODEL'!A:A,'PLAYER MODEL'!D:D)-XLOOKUP(B33,'PLAYER MODEL'!A:A,'PLAYER MODEL'!D:D),0)</f>
        <v/>
      </c>
      <c r="P33" s="8" t="n"/>
      <c r="Q33" s="5">
        <f>IF(J33&gt;0,"Positive 6GW EV",IF(N33&gt;0,"Positive 8GW EV","No clear EV"))</f>
        <v/>
      </c>
    </row>
    <row r="34">
      <c r="A34" s="8" t="n"/>
      <c r="B34" s="8" t="n"/>
      <c r="C34" s="8" t="n"/>
      <c r="D34" s="8" t="n"/>
      <c r="E34" s="8" t="n"/>
      <c r="F34" s="5">
        <f>MAX(0,E34-D34)*4</f>
        <v/>
      </c>
      <c r="G34" s="5">
        <f>IFERROR(XLOOKUP(B34,'PLAYER MODEL'!A:A,'PLAYER MODEL'!AD:AD),0)</f>
        <v/>
      </c>
      <c r="H34" s="5">
        <f>IFERROR(XLOOKUP(C34,'PLAYER MODEL'!A:A,'PLAYER MODEL'!AD:AD),0)</f>
        <v/>
      </c>
      <c r="I34" s="5">
        <f>H34-G34</f>
        <v/>
      </c>
      <c r="J34" s="5">
        <f>I34-F34</f>
        <v/>
      </c>
      <c r="K34" s="5">
        <f>IFERROR(XLOOKUP(B34,'PLAYER MODEL'!A:A,'PLAYER MODEL'!AC:AC),0)</f>
        <v/>
      </c>
      <c r="L34" s="5">
        <f>IFERROR(XLOOKUP(C34,'PLAYER MODEL'!A:A,'PLAYER MODEL'!AC:AC),0)</f>
        <v/>
      </c>
      <c r="M34" s="5">
        <f>L34-K34</f>
        <v/>
      </c>
      <c r="N34" s="5">
        <f>M34-F34</f>
        <v/>
      </c>
      <c r="O34" s="5">
        <f>IFERROR(XLOOKUP(C34,'PLAYER MODEL'!A:A,'PLAYER MODEL'!D:D)-XLOOKUP(B34,'PLAYER MODEL'!A:A,'PLAYER MODEL'!D:D),0)</f>
        <v/>
      </c>
      <c r="P34" s="8" t="n"/>
      <c r="Q34" s="5">
        <f>IF(J34&gt;0,"Positive 6GW EV",IF(N34&gt;0,"Positive 8GW EV","No clear EV"))</f>
        <v/>
      </c>
    </row>
    <row r="35">
      <c r="A35" s="8" t="n"/>
      <c r="B35" s="8" t="n"/>
      <c r="C35" s="8" t="n"/>
      <c r="D35" s="8" t="n"/>
      <c r="E35" s="8" t="n"/>
      <c r="F35" s="5">
        <f>MAX(0,E35-D35)*4</f>
        <v/>
      </c>
      <c r="G35" s="5">
        <f>IFERROR(XLOOKUP(B35,'PLAYER MODEL'!A:A,'PLAYER MODEL'!AD:AD),0)</f>
        <v/>
      </c>
      <c r="H35" s="5">
        <f>IFERROR(XLOOKUP(C35,'PLAYER MODEL'!A:A,'PLAYER MODEL'!AD:AD),0)</f>
        <v/>
      </c>
      <c r="I35" s="5">
        <f>H35-G35</f>
        <v/>
      </c>
      <c r="J35" s="5">
        <f>I35-F35</f>
        <v/>
      </c>
      <c r="K35" s="5">
        <f>IFERROR(XLOOKUP(B35,'PLAYER MODEL'!A:A,'PLAYER MODEL'!AC:AC),0)</f>
        <v/>
      </c>
      <c r="L35" s="5">
        <f>IFERROR(XLOOKUP(C35,'PLAYER MODEL'!A:A,'PLAYER MODEL'!AC:AC),0)</f>
        <v/>
      </c>
      <c r="M35" s="5">
        <f>L35-K35</f>
        <v/>
      </c>
      <c r="N35" s="5">
        <f>M35-F35</f>
        <v/>
      </c>
      <c r="O35" s="5">
        <f>IFERROR(XLOOKUP(C35,'PLAYER MODEL'!A:A,'PLAYER MODEL'!D:D)-XLOOKUP(B35,'PLAYER MODEL'!A:A,'PLAYER MODEL'!D:D),0)</f>
        <v/>
      </c>
      <c r="P35" s="8" t="n"/>
      <c r="Q35" s="5">
        <f>IF(J35&gt;0,"Positive 6GW EV",IF(N35&gt;0,"Positive 8GW EV","No clear EV"))</f>
        <v/>
      </c>
    </row>
    <row r="36">
      <c r="A36" s="8" t="n"/>
      <c r="B36" s="8" t="n"/>
      <c r="C36" s="8" t="n"/>
      <c r="D36" s="8" t="n"/>
      <c r="E36" s="8" t="n"/>
      <c r="F36" s="5">
        <f>MAX(0,E36-D36)*4</f>
        <v/>
      </c>
      <c r="G36" s="5">
        <f>IFERROR(XLOOKUP(B36,'PLAYER MODEL'!A:A,'PLAYER MODEL'!AD:AD),0)</f>
        <v/>
      </c>
      <c r="H36" s="5">
        <f>IFERROR(XLOOKUP(C36,'PLAYER MODEL'!A:A,'PLAYER MODEL'!AD:AD),0)</f>
        <v/>
      </c>
      <c r="I36" s="5">
        <f>H36-G36</f>
        <v/>
      </c>
      <c r="J36" s="5">
        <f>I36-F36</f>
        <v/>
      </c>
      <c r="K36" s="5">
        <f>IFERROR(XLOOKUP(B36,'PLAYER MODEL'!A:A,'PLAYER MODEL'!AC:AC),0)</f>
        <v/>
      </c>
      <c r="L36" s="5">
        <f>IFERROR(XLOOKUP(C36,'PLAYER MODEL'!A:A,'PLAYER MODEL'!AC:AC),0)</f>
        <v/>
      </c>
      <c r="M36" s="5">
        <f>L36-K36</f>
        <v/>
      </c>
      <c r="N36" s="5">
        <f>M36-F36</f>
        <v/>
      </c>
      <c r="O36" s="5">
        <f>IFERROR(XLOOKUP(C36,'PLAYER MODEL'!A:A,'PLAYER MODEL'!D:D)-XLOOKUP(B36,'PLAYER MODEL'!A:A,'PLAYER MODEL'!D:D),0)</f>
        <v/>
      </c>
      <c r="P36" s="8" t="n"/>
      <c r="Q36" s="5">
        <f>IF(J36&gt;0,"Positive 6GW EV",IF(N36&gt;0,"Positive 8GW EV","No clear EV"))</f>
        <v/>
      </c>
    </row>
    <row r="37">
      <c r="A37" s="8" t="n"/>
      <c r="B37" s="8" t="n"/>
      <c r="C37" s="8" t="n"/>
      <c r="D37" s="8" t="n"/>
      <c r="E37" s="8" t="n"/>
      <c r="F37" s="5">
        <f>MAX(0,E37-D37)*4</f>
        <v/>
      </c>
      <c r="G37" s="5">
        <f>IFERROR(XLOOKUP(B37,'PLAYER MODEL'!A:A,'PLAYER MODEL'!AD:AD),0)</f>
        <v/>
      </c>
      <c r="H37" s="5">
        <f>IFERROR(XLOOKUP(C37,'PLAYER MODEL'!A:A,'PLAYER MODEL'!AD:AD),0)</f>
        <v/>
      </c>
      <c r="I37" s="5">
        <f>H37-G37</f>
        <v/>
      </c>
      <c r="J37" s="5">
        <f>I37-F37</f>
        <v/>
      </c>
      <c r="K37" s="5">
        <f>IFERROR(XLOOKUP(B37,'PLAYER MODEL'!A:A,'PLAYER MODEL'!AC:AC),0)</f>
        <v/>
      </c>
      <c r="L37" s="5">
        <f>IFERROR(XLOOKUP(C37,'PLAYER MODEL'!A:A,'PLAYER MODEL'!AC:AC),0)</f>
        <v/>
      </c>
      <c r="M37" s="5">
        <f>L37-K37</f>
        <v/>
      </c>
      <c r="N37" s="5">
        <f>M37-F37</f>
        <v/>
      </c>
      <c r="O37" s="5">
        <f>IFERROR(XLOOKUP(C37,'PLAYER MODEL'!A:A,'PLAYER MODEL'!D:D)-XLOOKUP(B37,'PLAYER MODEL'!A:A,'PLAYER MODEL'!D:D),0)</f>
        <v/>
      </c>
      <c r="P37" s="8" t="n"/>
      <c r="Q37" s="5">
        <f>IF(J37&gt;0,"Positive 6GW EV",IF(N37&gt;0,"Positive 8GW EV","No clear EV"))</f>
        <v/>
      </c>
    </row>
    <row r="38">
      <c r="A38" s="8" t="n"/>
      <c r="B38" s="8" t="n"/>
      <c r="C38" s="8" t="n"/>
      <c r="D38" s="8" t="n"/>
      <c r="E38" s="8" t="n"/>
      <c r="F38" s="5">
        <f>MAX(0,E38-D38)*4</f>
        <v/>
      </c>
      <c r="G38" s="5">
        <f>IFERROR(XLOOKUP(B38,'PLAYER MODEL'!A:A,'PLAYER MODEL'!AD:AD),0)</f>
        <v/>
      </c>
      <c r="H38" s="5">
        <f>IFERROR(XLOOKUP(C38,'PLAYER MODEL'!A:A,'PLAYER MODEL'!AD:AD),0)</f>
        <v/>
      </c>
      <c r="I38" s="5">
        <f>H38-G38</f>
        <v/>
      </c>
      <c r="J38" s="5">
        <f>I38-F38</f>
        <v/>
      </c>
      <c r="K38" s="5">
        <f>IFERROR(XLOOKUP(B38,'PLAYER MODEL'!A:A,'PLAYER MODEL'!AC:AC),0)</f>
        <v/>
      </c>
      <c r="L38" s="5">
        <f>IFERROR(XLOOKUP(C38,'PLAYER MODEL'!A:A,'PLAYER MODEL'!AC:AC),0)</f>
        <v/>
      </c>
      <c r="M38" s="5">
        <f>L38-K38</f>
        <v/>
      </c>
      <c r="N38" s="5">
        <f>M38-F38</f>
        <v/>
      </c>
      <c r="O38" s="5">
        <f>IFERROR(XLOOKUP(C38,'PLAYER MODEL'!A:A,'PLAYER MODEL'!D:D)-XLOOKUP(B38,'PLAYER MODEL'!A:A,'PLAYER MODEL'!D:D),0)</f>
        <v/>
      </c>
      <c r="P38" s="8" t="n"/>
      <c r="Q38" s="5">
        <f>IF(J38&gt;0,"Positive 6GW EV",IF(N38&gt;0,"Positive 8GW EV","No clear EV"))</f>
        <v/>
      </c>
    </row>
    <row r="39">
      <c r="A39" s="8" t="n"/>
      <c r="B39" s="8" t="n"/>
      <c r="C39" s="8" t="n"/>
      <c r="D39" s="8" t="n"/>
      <c r="E39" s="8" t="n"/>
      <c r="F39" s="5">
        <f>MAX(0,E39-D39)*4</f>
        <v/>
      </c>
      <c r="G39" s="5">
        <f>IFERROR(XLOOKUP(B39,'PLAYER MODEL'!A:A,'PLAYER MODEL'!AD:AD),0)</f>
        <v/>
      </c>
      <c r="H39" s="5">
        <f>IFERROR(XLOOKUP(C39,'PLAYER MODEL'!A:A,'PLAYER MODEL'!AD:AD),0)</f>
        <v/>
      </c>
      <c r="I39" s="5">
        <f>H39-G39</f>
        <v/>
      </c>
      <c r="J39" s="5">
        <f>I39-F39</f>
        <v/>
      </c>
      <c r="K39" s="5">
        <f>IFERROR(XLOOKUP(B39,'PLAYER MODEL'!A:A,'PLAYER MODEL'!AC:AC),0)</f>
        <v/>
      </c>
      <c r="L39" s="5">
        <f>IFERROR(XLOOKUP(C39,'PLAYER MODEL'!A:A,'PLAYER MODEL'!AC:AC),0)</f>
        <v/>
      </c>
      <c r="M39" s="5">
        <f>L39-K39</f>
        <v/>
      </c>
      <c r="N39" s="5">
        <f>M39-F39</f>
        <v/>
      </c>
      <c r="O39" s="5">
        <f>IFERROR(XLOOKUP(C39,'PLAYER MODEL'!A:A,'PLAYER MODEL'!D:D)-XLOOKUP(B39,'PLAYER MODEL'!A:A,'PLAYER MODEL'!D:D),0)</f>
        <v/>
      </c>
      <c r="P39" s="8" t="n"/>
      <c r="Q39" s="5">
        <f>IF(J39&gt;0,"Positive 6GW EV",IF(N39&gt;0,"Positive 8GW EV","No clear EV"))</f>
        <v/>
      </c>
    </row>
    <row r="40">
      <c r="A40" s="8" t="n"/>
      <c r="B40" s="8" t="n"/>
      <c r="C40" s="8" t="n"/>
      <c r="D40" s="8" t="n"/>
      <c r="E40" s="8" t="n"/>
      <c r="F40" s="5">
        <f>MAX(0,E40-D40)*4</f>
        <v/>
      </c>
      <c r="G40" s="5">
        <f>IFERROR(XLOOKUP(B40,'PLAYER MODEL'!A:A,'PLAYER MODEL'!AD:AD),0)</f>
        <v/>
      </c>
      <c r="H40" s="5">
        <f>IFERROR(XLOOKUP(C40,'PLAYER MODEL'!A:A,'PLAYER MODEL'!AD:AD),0)</f>
        <v/>
      </c>
      <c r="I40" s="5">
        <f>H40-G40</f>
        <v/>
      </c>
      <c r="J40" s="5">
        <f>I40-F40</f>
        <v/>
      </c>
      <c r="K40" s="5">
        <f>IFERROR(XLOOKUP(B40,'PLAYER MODEL'!A:A,'PLAYER MODEL'!AC:AC),0)</f>
        <v/>
      </c>
      <c r="L40" s="5">
        <f>IFERROR(XLOOKUP(C40,'PLAYER MODEL'!A:A,'PLAYER MODEL'!AC:AC),0)</f>
        <v/>
      </c>
      <c r="M40" s="5">
        <f>L40-K40</f>
        <v/>
      </c>
      <c r="N40" s="5">
        <f>M40-F40</f>
        <v/>
      </c>
      <c r="O40" s="5">
        <f>IFERROR(XLOOKUP(C40,'PLAYER MODEL'!A:A,'PLAYER MODEL'!D:D)-XLOOKUP(B40,'PLAYER MODEL'!A:A,'PLAYER MODEL'!D:D),0)</f>
        <v/>
      </c>
      <c r="P40" s="8" t="n"/>
      <c r="Q40" s="5">
        <f>IF(J40&gt;0,"Positive 6GW EV",IF(N40&gt;0,"Positive 8GW EV","No clear EV"))</f>
        <v/>
      </c>
    </row>
    <row r="41">
      <c r="A41" s="8" t="n"/>
      <c r="B41" s="8" t="n"/>
      <c r="C41" s="8" t="n"/>
      <c r="D41" s="8" t="n"/>
      <c r="E41" s="8" t="n"/>
      <c r="F41" s="5">
        <f>MAX(0,E41-D41)*4</f>
        <v/>
      </c>
      <c r="G41" s="5">
        <f>IFERROR(XLOOKUP(B41,'PLAYER MODEL'!A:A,'PLAYER MODEL'!AD:AD),0)</f>
        <v/>
      </c>
      <c r="H41" s="5">
        <f>IFERROR(XLOOKUP(C41,'PLAYER MODEL'!A:A,'PLAYER MODEL'!AD:AD),0)</f>
        <v/>
      </c>
      <c r="I41" s="5">
        <f>H41-G41</f>
        <v/>
      </c>
      <c r="J41" s="5">
        <f>I41-F41</f>
        <v/>
      </c>
      <c r="K41" s="5">
        <f>IFERROR(XLOOKUP(B41,'PLAYER MODEL'!A:A,'PLAYER MODEL'!AC:AC),0)</f>
        <v/>
      </c>
      <c r="L41" s="5">
        <f>IFERROR(XLOOKUP(C41,'PLAYER MODEL'!A:A,'PLAYER MODEL'!AC:AC),0)</f>
        <v/>
      </c>
      <c r="M41" s="5">
        <f>L41-K41</f>
        <v/>
      </c>
      <c r="N41" s="5">
        <f>M41-F41</f>
        <v/>
      </c>
      <c r="O41" s="5">
        <f>IFERROR(XLOOKUP(C41,'PLAYER MODEL'!A:A,'PLAYER MODEL'!D:D)-XLOOKUP(B41,'PLAYER MODEL'!A:A,'PLAYER MODEL'!D:D),0)</f>
        <v/>
      </c>
      <c r="P41" s="8" t="n"/>
      <c r="Q41" s="5">
        <f>IF(J41&gt;0,"Positive 6GW EV",IF(N41&gt;0,"Positive 8GW EV","No clear EV"))</f>
        <v/>
      </c>
    </row>
    <row r="42">
      <c r="A42" s="8" t="n"/>
      <c r="B42" s="8" t="n"/>
      <c r="C42" s="8" t="n"/>
      <c r="D42" s="8" t="n"/>
      <c r="E42" s="8" t="n"/>
      <c r="F42" s="5">
        <f>MAX(0,E42-D42)*4</f>
        <v/>
      </c>
      <c r="G42" s="5">
        <f>IFERROR(XLOOKUP(B42,'PLAYER MODEL'!A:A,'PLAYER MODEL'!AD:AD),0)</f>
        <v/>
      </c>
      <c r="H42" s="5">
        <f>IFERROR(XLOOKUP(C42,'PLAYER MODEL'!A:A,'PLAYER MODEL'!AD:AD),0)</f>
        <v/>
      </c>
      <c r="I42" s="5">
        <f>H42-G42</f>
        <v/>
      </c>
      <c r="J42" s="5">
        <f>I42-F42</f>
        <v/>
      </c>
      <c r="K42" s="5">
        <f>IFERROR(XLOOKUP(B42,'PLAYER MODEL'!A:A,'PLAYER MODEL'!AC:AC),0)</f>
        <v/>
      </c>
      <c r="L42" s="5">
        <f>IFERROR(XLOOKUP(C42,'PLAYER MODEL'!A:A,'PLAYER MODEL'!AC:AC),0)</f>
        <v/>
      </c>
      <c r="M42" s="5">
        <f>L42-K42</f>
        <v/>
      </c>
      <c r="N42" s="5">
        <f>M42-F42</f>
        <v/>
      </c>
      <c r="O42" s="5">
        <f>IFERROR(XLOOKUP(C42,'PLAYER MODEL'!A:A,'PLAYER MODEL'!D:D)-XLOOKUP(B42,'PLAYER MODEL'!A:A,'PLAYER MODEL'!D:D),0)</f>
        <v/>
      </c>
      <c r="P42" s="8" t="n"/>
      <c r="Q42" s="5">
        <f>IF(J42&gt;0,"Positive 6GW EV",IF(N42&gt;0,"Positive 8GW EV","No clear EV"))</f>
        <v/>
      </c>
    </row>
    <row r="43">
      <c r="A43" s="8" t="n"/>
      <c r="B43" s="8" t="n"/>
      <c r="C43" s="8" t="n"/>
      <c r="D43" s="8" t="n"/>
      <c r="E43" s="8" t="n"/>
      <c r="F43" s="5">
        <f>MAX(0,E43-D43)*4</f>
        <v/>
      </c>
      <c r="G43" s="5">
        <f>IFERROR(XLOOKUP(B43,'PLAYER MODEL'!A:A,'PLAYER MODEL'!AD:AD),0)</f>
        <v/>
      </c>
      <c r="H43" s="5">
        <f>IFERROR(XLOOKUP(C43,'PLAYER MODEL'!A:A,'PLAYER MODEL'!AD:AD),0)</f>
        <v/>
      </c>
      <c r="I43" s="5">
        <f>H43-G43</f>
        <v/>
      </c>
      <c r="J43" s="5">
        <f>I43-F43</f>
        <v/>
      </c>
      <c r="K43" s="5">
        <f>IFERROR(XLOOKUP(B43,'PLAYER MODEL'!A:A,'PLAYER MODEL'!AC:AC),0)</f>
        <v/>
      </c>
      <c r="L43" s="5">
        <f>IFERROR(XLOOKUP(C43,'PLAYER MODEL'!A:A,'PLAYER MODEL'!AC:AC),0)</f>
        <v/>
      </c>
      <c r="M43" s="5">
        <f>L43-K43</f>
        <v/>
      </c>
      <c r="N43" s="5">
        <f>M43-F43</f>
        <v/>
      </c>
      <c r="O43" s="5">
        <f>IFERROR(XLOOKUP(C43,'PLAYER MODEL'!A:A,'PLAYER MODEL'!D:D)-XLOOKUP(B43,'PLAYER MODEL'!A:A,'PLAYER MODEL'!D:D),0)</f>
        <v/>
      </c>
      <c r="P43" s="8" t="n"/>
      <c r="Q43" s="5">
        <f>IF(J43&gt;0,"Positive 6GW EV",IF(N43&gt;0,"Positive 8GW EV","No clear EV"))</f>
        <v/>
      </c>
    </row>
    <row r="44">
      <c r="A44" s="8" t="n"/>
      <c r="B44" s="8" t="n"/>
      <c r="C44" s="8" t="n"/>
      <c r="D44" s="8" t="n"/>
      <c r="E44" s="8" t="n"/>
      <c r="F44" s="5">
        <f>MAX(0,E44-D44)*4</f>
        <v/>
      </c>
      <c r="G44" s="5">
        <f>IFERROR(XLOOKUP(B44,'PLAYER MODEL'!A:A,'PLAYER MODEL'!AD:AD),0)</f>
        <v/>
      </c>
      <c r="H44" s="5">
        <f>IFERROR(XLOOKUP(C44,'PLAYER MODEL'!A:A,'PLAYER MODEL'!AD:AD),0)</f>
        <v/>
      </c>
      <c r="I44" s="5">
        <f>H44-G44</f>
        <v/>
      </c>
      <c r="J44" s="5">
        <f>I44-F44</f>
        <v/>
      </c>
      <c r="K44" s="5">
        <f>IFERROR(XLOOKUP(B44,'PLAYER MODEL'!A:A,'PLAYER MODEL'!AC:AC),0)</f>
        <v/>
      </c>
      <c r="L44" s="5">
        <f>IFERROR(XLOOKUP(C44,'PLAYER MODEL'!A:A,'PLAYER MODEL'!AC:AC),0)</f>
        <v/>
      </c>
      <c r="M44" s="5">
        <f>L44-K44</f>
        <v/>
      </c>
      <c r="N44" s="5">
        <f>M44-F44</f>
        <v/>
      </c>
      <c r="O44" s="5">
        <f>IFERROR(XLOOKUP(C44,'PLAYER MODEL'!A:A,'PLAYER MODEL'!D:D)-XLOOKUP(B44,'PLAYER MODEL'!A:A,'PLAYER MODEL'!D:D),0)</f>
        <v/>
      </c>
      <c r="P44" s="8" t="n"/>
      <c r="Q44" s="5">
        <f>IF(J44&gt;0,"Positive 6GW EV",IF(N44&gt;0,"Positive 8GW EV","No clear EV"))</f>
        <v/>
      </c>
    </row>
    <row r="45">
      <c r="A45" s="8" t="n"/>
      <c r="B45" s="8" t="n"/>
      <c r="C45" s="8" t="n"/>
      <c r="D45" s="8" t="n"/>
      <c r="E45" s="8" t="n"/>
      <c r="F45" s="5">
        <f>MAX(0,E45-D45)*4</f>
        <v/>
      </c>
      <c r="G45" s="5">
        <f>IFERROR(XLOOKUP(B45,'PLAYER MODEL'!A:A,'PLAYER MODEL'!AD:AD),0)</f>
        <v/>
      </c>
      <c r="H45" s="5">
        <f>IFERROR(XLOOKUP(C45,'PLAYER MODEL'!A:A,'PLAYER MODEL'!AD:AD),0)</f>
        <v/>
      </c>
      <c r="I45" s="5">
        <f>H45-G45</f>
        <v/>
      </c>
      <c r="J45" s="5">
        <f>I45-F45</f>
        <v/>
      </c>
      <c r="K45" s="5">
        <f>IFERROR(XLOOKUP(B45,'PLAYER MODEL'!A:A,'PLAYER MODEL'!AC:AC),0)</f>
        <v/>
      </c>
      <c r="L45" s="5">
        <f>IFERROR(XLOOKUP(C45,'PLAYER MODEL'!A:A,'PLAYER MODEL'!AC:AC),0)</f>
        <v/>
      </c>
      <c r="M45" s="5">
        <f>L45-K45</f>
        <v/>
      </c>
      <c r="N45" s="5">
        <f>M45-F45</f>
        <v/>
      </c>
      <c r="O45" s="5">
        <f>IFERROR(XLOOKUP(C45,'PLAYER MODEL'!A:A,'PLAYER MODEL'!D:D)-XLOOKUP(B45,'PLAYER MODEL'!A:A,'PLAYER MODEL'!D:D),0)</f>
        <v/>
      </c>
      <c r="P45" s="8" t="n"/>
      <c r="Q45" s="5">
        <f>IF(J45&gt;0,"Positive 6GW EV",IF(N45&gt;0,"Positive 8GW EV","No clear EV"))</f>
        <v/>
      </c>
    </row>
    <row r="46">
      <c r="A46" s="8" t="n"/>
      <c r="B46" s="8" t="n"/>
      <c r="C46" s="8" t="n"/>
      <c r="D46" s="8" t="n"/>
      <c r="E46" s="8" t="n"/>
      <c r="F46" s="5">
        <f>MAX(0,E46-D46)*4</f>
        <v/>
      </c>
      <c r="G46" s="5">
        <f>IFERROR(XLOOKUP(B46,'PLAYER MODEL'!A:A,'PLAYER MODEL'!AD:AD),0)</f>
        <v/>
      </c>
      <c r="H46" s="5">
        <f>IFERROR(XLOOKUP(C46,'PLAYER MODEL'!A:A,'PLAYER MODEL'!AD:AD),0)</f>
        <v/>
      </c>
      <c r="I46" s="5">
        <f>H46-G46</f>
        <v/>
      </c>
      <c r="J46" s="5">
        <f>I46-F46</f>
        <v/>
      </c>
      <c r="K46" s="5">
        <f>IFERROR(XLOOKUP(B46,'PLAYER MODEL'!A:A,'PLAYER MODEL'!AC:AC),0)</f>
        <v/>
      </c>
      <c r="L46" s="5">
        <f>IFERROR(XLOOKUP(C46,'PLAYER MODEL'!A:A,'PLAYER MODEL'!AC:AC),0)</f>
        <v/>
      </c>
      <c r="M46" s="5">
        <f>L46-K46</f>
        <v/>
      </c>
      <c r="N46" s="5">
        <f>M46-F46</f>
        <v/>
      </c>
      <c r="O46" s="5">
        <f>IFERROR(XLOOKUP(C46,'PLAYER MODEL'!A:A,'PLAYER MODEL'!D:D)-XLOOKUP(B46,'PLAYER MODEL'!A:A,'PLAYER MODEL'!D:D),0)</f>
        <v/>
      </c>
      <c r="P46" s="8" t="n"/>
      <c r="Q46" s="5">
        <f>IF(J46&gt;0,"Positive 6GW EV",IF(N46&gt;0,"Positive 8GW EV","No clear EV"))</f>
        <v/>
      </c>
    </row>
    <row r="47">
      <c r="A47" s="8" t="n"/>
      <c r="B47" s="8" t="n"/>
      <c r="C47" s="8" t="n"/>
      <c r="D47" s="8" t="n"/>
      <c r="E47" s="8" t="n"/>
      <c r="F47" s="5">
        <f>MAX(0,E47-D47)*4</f>
        <v/>
      </c>
      <c r="G47" s="5">
        <f>IFERROR(XLOOKUP(B47,'PLAYER MODEL'!A:A,'PLAYER MODEL'!AD:AD),0)</f>
        <v/>
      </c>
      <c r="H47" s="5">
        <f>IFERROR(XLOOKUP(C47,'PLAYER MODEL'!A:A,'PLAYER MODEL'!AD:AD),0)</f>
        <v/>
      </c>
      <c r="I47" s="5">
        <f>H47-G47</f>
        <v/>
      </c>
      <c r="J47" s="5">
        <f>I47-F47</f>
        <v/>
      </c>
      <c r="K47" s="5">
        <f>IFERROR(XLOOKUP(B47,'PLAYER MODEL'!A:A,'PLAYER MODEL'!AC:AC),0)</f>
        <v/>
      </c>
      <c r="L47" s="5">
        <f>IFERROR(XLOOKUP(C47,'PLAYER MODEL'!A:A,'PLAYER MODEL'!AC:AC),0)</f>
        <v/>
      </c>
      <c r="M47" s="5">
        <f>L47-K47</f>
        <v/>
      </c>
      <c r="N47" s="5">
        <f>M47-F47</f>
        <v/>
      </c>
      <c r="O47" s="5">
        <f>IFERROR(XLOOKUP(C47,'PLAYER MODEL'!A:A,'PLAYER MODEL'!D:D)-XLOOKUP(B47,'PLAYER MODEL'!A:A,'PLAYER MODEL'!D:D),0)</f>
        <v/>
      </c>
      <c r="P47" s="8" t="n"/>
      <c r="Q47" s="5">
        <f>IF(J47&gt;0,"Positive 6GW EV",IF(N47&gt;0,"Positive 8GW EV","No clear EV"))</f>
        <v/>
      </c>
    </row>
    <row r="48">
      <c r="A48" s="8" t="n"/>
      <c r="B48" s="8" t="n"/>
      <c r="C48" s="8" t="n"/>
      <c r="D48" s="8" t="n"/>
      <c r="E48" s="8" t="n"/>
      <c r="F48" s="5">
        <f>MAX(0,E48-D48)*4</f>
        <v/>
      </c>
      <c r="G48" s="5">
        <f>IFERROR(XLOOKUP(B48,'PLAYER MODEL'!A:A,'PLAYER MODEL'!AD:AD),0)</f>
        <v/>
      </c>
      <c r="H48" s="5">
        <f>IFERROR(XLOOKUP(C48,'PLAYER MODEL'!A:A,'PLAYER MODEL'!AD:AD),0)</f>
        <v/>
      </c>
      <c r="I48" s="5">
        <f>H48-G48</f>
        <v/>
      </c>
      <c r="J48" s="5">
        <f>I48-F48</f>
        <v/>
      </c>
      <c r="K48" s="5">
        <f>IFERROR(XLOOKUP(B48,'PLAYER MODEL'!A:A,'PLAYER MODEL'!AC:AC),0)</f>
        <v/>
      </c>
      <c r="L48" s="5">
        <f>IFERROR(XLOOKUP(C48,'PLAYER MODEL'!A:A,'PLAYER MODEL'!AC:AC),0)</f>
        <v/>
      </c>
      <c r="M48" s="5">
        <f>L48-K48</f>
        <v/>
      </c>
      <c r="N48" s="5">
        <f>M48-F48</f>
        <v/>
      </c>
      <c r="O48" s="5">
        <f>IFERROR(XLOOKUP(C48,'PLAYER MODEL'!A:A,'PLAYER MODEL'!D:D)-XLOOKUP(B48,'PLAYER MODEL'!A:A,'PLAYER MODEL'!D:D),0)</f>
        <v/>
      </c>
      <c r="P48" s="8" t="n"/>
      <c r="Q48" s="5">
        <f>IF(J48&gt;0,"Positive 6GW EV",IF(N48&gt;0,"Positive 8GW EV","No clear EV"))</f>
        <v/>
      </c>
    </row>
    <row r="49">
      <c r="A49" s="8" t="n"/>
      <c r="B49" s="8" t="n"/>
      <c r="C49" s="8" t="n"/>
      <c r="D49" s="8" t="n"/>
      <c r="E49" s="8" t="n"/>
      <c r="F49" s="5">
        <f>MAX(0,E49-D49)*4</f>
        <v/>
      </c>
      <c r="G49" s="5">
        <f>IFERROR(XLOOKUP(B49,'PLAYER MODEL'!A:A,'PLAYER MODEL'!AD:AD),0)</f>
        <v/>
      </c>
      <c r="H49" s="5">
        <f>IFERROR(XLOOKUP(C49,'PLAYER MODEL'!A:A,'PLAYER MODEL'!AD:AD),0)</f>
        <v/>
      </c>
      <c r="I49" s="5">
        <f>H49-G49</f>
        <v/>
      </c>
      <c r="J49" s="5">
        <f>I49-F49</f>
        <v/>
      </c>
      <c r="K49" s="5">
        <f>IFERROR(XLOOKUP(B49,'PLAYER MODEL'!A:A,'PLAYER MODEL'!AC:AC),0)</f>
        <v/>
      </c>
      <c r="L49" s="5">
        <f>IFERROR(XLOOKUP(C49,'PLAYER MODEL'!A:A,'PLAYER MODEL'!AC:AC),0)</f>
        <v/>
      </c>
      <c r="M49" s="5">
        <f>L49-K49</f>
        <v/>
      </c>
      <c r="N49" s="5">
        <f>M49-F49</f>
        <v/>
      </c>
      <c r="O49" s="5">
        <f>IFERROR(XLOOKUP(C49,'PLAYER MODEL'!A:A,'PLAYER MODEL'!D:D)-XLOOKUP(B49,'PLAYER MODEL'!A:A,'PLAYER MODEL'!D:D),0)</f>
        <v/>
      </c>
      <c r="P49" s="8" t="n"/>
      <c r="Q49" s="5">
        <f>IF(J49&gt;0,"Positive 6GW EV",IF(N49&gt;0,"Positive 8GW EV","No clear EV"))</f>
        <v/>
      </c>
    </row>
    <row r="50">
      <c r="A50" s="8" t="n"/>
      <c r="B50" s="8" t="n"/>
      <c r="C50" s="8" t="n"/>
      <c r="D50" s="8" t="n"/>
      <c r="E50" s="8" t="n"/>
      <c r="F50" s="5">
        <f>MAX(0,E50-D50)*4</f>
        <v/>
      </c>
      <c r="G50" s="5">
        <f>IFERROR(XLOOKUP(B50,'PLAYER MODEL'!A:A,'PLAYER MODEL'!AD:AD),0)</f>
        <v/>
      </c>
      <c r="H50" s="5">
        <f>IFERROR(XLOOKUP(C50,'PLAYER MODEL'!A:A,'PLAYER MODEL'!AD:AD),0)</f>
        <v/>
      </c>
      <c r="I50" s="5">
        <f>H50-G50</f>
        <v/>
      </c>
      <c r="J50" s="5">
        <f>I50-F50</f>
        <v/>
      </c>
      <c r="K50" s="5">
        <f>IFERROR(XLOOKUP(B50,'PLAYER MODEL'!A:A,'PLAYER MODEL'!AC:AC),0)</f>
        <v/>
      </c>
      <c r="L50" s="5">
        <f>IFERROR(XLOOKUP(C50,'PLAYER MODEL'!A:A,'PLAYER MODEL'!AC:AC),0)</f>
        <v/>
      </c>
      <c r="M50" s="5">
        <f>L50-K50</f>
        <v/>
      </c>
      <c r="N50" s="5">
        <f>M50-F50</f>
        <v/>
      </c>
      <c r="O50" s="5">
        <f>IFERROR(XLOOKUP(C50,'PLAYER MODEL'!A:A,'PLAYER MODEL'!D:D)-XLOOKUP(B50,'PLAYER MODEL'!A:A,'PLAYER MODEL'!D:D),0)</f>
        <v/>
      </c>
      <c r="P50" s="8" t="n"/>
      <c r="Q50" s="5">
        <f>IF(J50&gt;0,"Positive 6GW EV",IF(N50&gt;0,"Positive 8GW EV","No clear EV"))</f>
        <v/>
      </c>
    </row>
    <row r="51">
      <c r="A51" s="8" t="n"/>
      <c r="B51" s="8" t="n"/>
      <c r="C51" s="8" t="n"/>
      <c r="D51" s="8" t="n"/>
      <c r="E51" s="8" t="n"/>
      <c r="F51" s="5">
        <f>MAX(0,E51-D51)*4</f>
        <v/>
      </c>
      <c r="G51" s="5">
        <f>IFERROR(XLOOKUP(B51,'PLAYER MODEL'!A:A,'PLAYER MODEL'!AD:AD),0)</f>
        <v/>
      </c>
      <c r="H51" s="5">
        <f>IFERROR(XLOOKUP(C51,'PLAYER MODEL'!A:A,'PLAYER MODEL'!AD:AD),0)</f>
        <v/>
      </c>
      <c r="I51" s="5">
        <f>H51-G51</f>
        <v/>
      </c>
      <c r="J51" s="5">
        <f>I51-F51</f>
        <v/>
      </c>
      <c r="K51" s="5">
        <f>IFERROR(XLOOKUP(B51,'PLAYER MODEL'!A:A,'PLAYER MODEL'!AC:AC),0)</f>
        <v/>
      </c>
      <c r="L51" s="5">
        <f>IFERROR(XLOOKUP(C51,'PLAYER MODEL'!A:A,'PLAYER MODEL'!AC:AC),0)</f>
        <v/>
      </c>
      <c r="M51" s="5">
        <f>L51-K51</f>
        <v/>
      </c>
      <c r="N51" s="5">
        <f>M51-F51</f>
        <v/>
      </c>
      <c r="O51" s="5">
        <f>IFERROR(XLOOKUP(C51,'PLAYER MODEL'!A:A,'PLAYER MODEL'!D:D)-XLOOKUP(B51,'PLAYER MODEL'!A:A,'PLAYER MODEL'!D:D),0)</f>
        <v/>
      </c>
      <c r="P51" s="8" t="n"/>
      <c r="Q51" s="5">
        <f>IF(J51&gt;0,"Positive 6GW EV",IF(N51&gt;0,"Positive 8GW EV","No clear EV"))</f>
        <v/>
      </c>
    </row>
    <row r="52">
      <c r="A52" s="8" t="n"/>
      <c r="B52" s="8" t="n"/>
      <c r="C52" s="8" t="n"/>
      <c r="D52" s="8" t="n"/>
      <c r="E52" s="8" t="n"/>
      <c r="F52" s="5">
        <f>MAX(0,E52-D52)*4</f>
        <v/>
      </c>
      <c r="G52" s="5">
        <f>IFERROR(XLOOKUP(B52,'PLAYER MODEL'!A:A,'PLAYER MODEL'!AD:AD),0)</f>
        <v/>
      </c>
      <c r="H52" s="5">
        <f>IFERROR(XLOOKUP(C52,'PLAYER MODEL'!A:A,'PLAYER MODEL'!AD:AD),0)</f>
        <v/>
      </c>
      <c r="I52" s="5">
        <f>H52-G52</f>
        <v/>
      </c>
      <c r="J52" s="5">
        <f>I52-F52</f>
        <v/>
      </c>
      <c r="K52" s="5">
        <f>IFERROR(XLOOKUP(B52,'PLAYER MODEL'!A:A,'PLAYER MODEL'!AC:AC),0)</f>
        <v/>
      </c>
      <c r="L52" s="5">
        <f>IFERROR(XLOOKUP(C52,'PLAYER MODEL'!A:A,'PLAYER MODEL'!AC:AC),0)</f>
        <v/>
      </c>
      <c r="M52" s="5">
        <f>L52-K52</f>
        <v/>
      </c>
      <c r="N52" s="5">
        <f>M52-F52</f>
        <v/>
      </c>
      <c r="O52" s="5">
        <f>IFERROR(XLOOKUP(C52,'PLAYER MODEL'!A:A,'PLAYER MODEL'!D:D)-XLOOKUP(B52,'PLAYER MODEL'!A:A,'PLAYER MODEL'!D:D),0)</f>
        <v/>
      </c>
      <c r="P52" s="8" t="n"/>
      <c r="Q52" s="5">
        <f>IF(J52&gt;0,"Positive 6GW EV",IF(N52&gt;0,"Positive 8GW EV","No clear EV"))</f>
        <v/>
      </c>
    </row>
    <row r="53">
      <c r="A53" s="8" t="n"/>
      <c r="B53" s="8" t="n"/>
      <c r="C53" s="8" t="n"/>
      <c r="D53" s="8" t="n"/>
      <c r="E53" s="8" t="n"/>
      <c r="F53" s="5">
        <f>MAX(0,E53-D53)*4</f>
        <v/>
      </c>
      <c r="G53" s="5">
        <f>IFERROR(XLOOKUP(B53,'PLAYER MODEL'!A:A,'PLAYER MODEL'!AD:AD),0)</f>
        <v/>
      </c>
      <c r="H53" s="5">
        <f>IFERROR(XLOOKUP(C53,'PLAYER MODEL'!A:A,'PLAYER MODEL'!AD:AD),0)</f>
        <v/>
      </c>
      <c r="I53" s="5">
        <f>H53-G53</f>
        <v/>
      </c>
      <c r="J53" s="5">
        <f>I53-F53</f>
        <v/>
      </c>
      <c r="K53" s="5">
        <f>IFERROR(XLOOKUP(B53,'PLAYER MODEL'!A:A,'PLAYER MODEL'!AC:AC),0)</f>
        <v/>
      </c>
      <c r="L53" s="5">
        <f>IFERROR(XLOOKUP(C53,'PLAYER MODEL'!A:A,'PLAYER MODEL'!AC:AC),0)</f>
        <v/>
      </c>
      <c r="M53" s="5">
        <f>L53-K53</f>
        <v/>
      </c>
      <c r="N53" s="5">
        <f>M53-F53</f>
        <v/>
      </c>
      <c r="O53" s="5">
        <f>IFERROR(XLOOKUP(C53,'PLAYER MODEL'!A:A,'PLAYER MODEL'!D:D)-XLOOKUP(B53,'PLAYER MODEL'!A:A,'PLAYER MODEL'!D:D),0)</f>
        <v/>
      </c>
      <c r="P53" s="8" t="n"/>
      <c r="Q53" s="5">
        <f>IF(J53&gt;0,"Positive 6GW EV",IF(N53&gt;0,"Positive 8GW EV","No clear EV"))</f>
        <v/>
      </c>
    </row>
    <row r="54">
      <c r="A54" s="8" t="n"/>
      <c r="B54" s="8" t="n"/>
      <c r="C54" s="8" t="n"/>
      <c r="D54" s="8" t="n"/>
      <c r="E54" s="8" t="n"/>
      <c r="F54" s="5">
        <f>MAX(0,E54-D54)*4</f>
        <v/>
      </c>
      <c r="G54" s="5">
        <f>IFERROR(XLOOKUP(B54,'PLAYER MODEL'!A:A,'PLAYER MODEL'!AD:AD),0)</f>
        <v/>
      </c>
      <c r="H54" s="5">
        <f>IFERROR(XLOOKUP(C54,'PLAYER MODEL'!A:A,'PLAYER MODEL'!AD:AD),0)</f>
        <v/>
      </c>
      <c r="I54" s="5">
        <f>H54-G54</f>
        <v/>
      </c>
      <c r="J54" s="5">
        <f>I54-F54</f>
        <v/>
      </c>
      <c r="K54" s="5">
        <f>IFERROR(XLOOKUP(B54,'PLAYER MODEL'!A:A,'PLAYER MODEL'!AC:AC),0)</f>
        <v/>
      </c>
      <c r="L54" s="5">
        <f>IFERROR(XLOOKUP(C54,'PLAYER MODEL'!A:A,'PLAYER MODEL'!AC:AC),0)</f>
        <v/>
      </c>
      <c r="M54" s="5">
        <f>L54-K54</f>
        <v/>
      </c>
      <c r="N54" s="5">
        <f>M54-F54</f>
        <v/>
      </c>
      <c r="O54" s="5">
        <f>IFERROR(XLOOKUP(C54,'PLAYER MODEL'!A:A,'PLAYER MODEL'!D:D)-XLOOKUP(B54,'PLAYER MODEL'!A:A,'PLAYER MODEL'!D:D),0)</f>
        <v/>
      </c>
      <c r="P54" s="8" t="n"/>
      <c r="Q54" s="5">
        <f>IF(J54&gt;0,"Positive 6GW EV",IF(N54&gt;0,"Positive 8GW EV","No clear EV"))</f>
        <v/>
      </c>
    </row>
    <row r="55">
      <c r="A55" s="8" t="n"/>
      <c r="B55" s="8" t="n"/>
      <c r="C55" s="8" t="n"/>
      <c r="D55" s="8" t="n"/>
      <c r="E55" s="8" t="n"/>
      <c r="F55" s="5">
        <f>MAX(0,E55-D55)*4</f>
        <v/>
      </c>
      <c r="G55" s="5">
        <f>IFERROR(XLOOKUP(B55,'PLAYER MODEL'!A:A,'PLAYER MODEL'!AD:AD),0)</f>
        <v/>
      </c>
      <c r="H55" s="5">
        <f>IFERROR(XLOOKUP(C55,'PLAYER MODEL'!A:A,'PLAYER MODEL'!AD:AD),0)</f>
        <v/>
      </c>
      <c r="I55" s="5">
        <f>H55-G55</f>
        <v/>
      </c>
      <c r="J55" s="5">
        <f>I55-F55</f>
        <v/>
      </c>
      <c r="K55" s="5">
        <f>IFERROR(XLOOKUP(B55,'PLAYER MODEL'!A:A,'PLAYER MODEL'!AC:AC),0)</f>
        <v/>
      </c>
      <c r="L55" s="5">
        <f>IFERROR(XLOOKUP(C55,'PLAYER MODEL'!A:A,'PLAYER MODEL'!AC:AC),0)</f>
        <v/>
      </c>
      <c r="M55" s="5">
        <f>L55-K55</f>
        <v/>
      </c>
      <c r="N55" s="5">
        <f>M55-F55</f>
        <v/>
      </c>
      <c r="O55" s="5">
        <f>IFERROR(XLOOKUP(C55,'PLAYER MODEL'!A:A,'PLAYER MODEL'!D:D)-XLOOKUP(B55,'PLAYER MODEL'!A:A,'PLAYER MODEL'!D:D),0)</f>
        <v/>
      </c>
      <c r="P55" s="8" t="n"/>
      <c r="Q55" s="5">
        <f>IF(J55&gt;0,"Positive 6GW EV",IF(N55&gt;0,"Positive 8GW EV","No clear EV"))</f>
        <v/>
      </c>
    </row>
    <row r="56">
      <c r="A56" s="8" t="n"/>
      <c r="B56" s="8" t="n"/>
      <c r="C56" s="8" t="n"/>
      <c r="D56" s="8" t="n"/>
      <c r="E56" s="8" t="n"/>
      <c r="F56" s="5">
        <f>MAX(0,E56-D56)*4</f>
        <v/>
      </c>
      <c r="G56" s="5">
        <f>IFERROR(XLOOKUP(B56,'PLAYER MODEL'!A:A,'PLAYER MODEL'!AD:AD),0)</f>
        <v/>
      </c>
      <c r="H56" s="5">
        <f>IFERROR(XLOOKUP(C56,'PLAYER MODEL'!A:A,'PLAYER MODEL'!AD:AD),0)</f>
        <v/>
      </c>
      <c r="I56" s="5">
        <f>H56-G56</f>
        <v/>
      </c>
      <c r="J56" s="5">
        <f>I56-F56</f>
        <v/>
      </c>
      <c r="K56" s="5">
        <f>IFERROR(XLOOKUP(B56,'PLAYER MODEL'!A:A,'PLAYER MODEL'!AC:AC),0)</f>
        <v/>
      </c>
      <c r="L56" s="5">
        <f>IFERROR(XLOOKUP(C56,'PLAYER MODEL'!A:A,'PLAYER MODEL'!AC:AC),0)</f>
        <v/>
      </c>
      <c r="M56" s="5">
        <f>L56-K56</f>
        <v/>
      </c>
      <c r="N56" s="5">
        <f>M56-F56</f>
        <v/>
      </c>
      <c r="O56" s="5">
        <f>IFERROR(XLOOKUP(C56,'PLAYER MODEL'!A:A,'PLAYER MODEL'!D:D)-XLOOKUP(B56,'PLAYER MODEL'!A:A,'PLAYER MODEL'!D:D),0)</f>
        <v/>
      </c>
      <c r="P56" s="8" t="n"/>
      <c r="Q56" s="5">
        <f>IF(J56&gt;0,"Positive 6GW EV",IF(N56&gt;0,"Positive 8GW EV","No clear EV"))</f>
        <v/>
      </c>
    </row>
    <row r="57">
      <c r="A57" s="8" t="n"/>
      <c r="B57" s="8" t="n"/>
      <c r="C57" s="8" t="n"/>
      <c r="D57" s="8" t="n"/>
      <c r="E57" s="8" t="n"/>
      <c r="F57" s="5">
        <f>MAX(0,E57-D57)*4</f>
        <v/>
      </c>
      <c r="G57" s="5">
        <f>IFERROR(XLOOKUP(B57,'PLAYER MODEL'!A:A,'PLAYER MODEL'!AD:AD),0)</f>
        <v/>
      </c>
      <c r="H57" s="5">
        <f>IFERROR(XLOOKUP(C57,'PLAYER MODEL'!A:A,'PLAYER MODEL'!AD:AD),0)</f>
        <v/>
      </c>
      <c r="I57" s="5">
        <f>H57-G57</f>
        <v/>
      </c>
      <c r="J57" s="5">
        <f>I57-F57</f>
        <v/>
      </c>
      <c r="K57" s="5">
        <f>IFERROR(XLOOKUP(B57,'PLAYER MODEL'!A:A,'PLAYER MODEL'!AC:AC),0)</f>
        <v/>
      </c>
      <c r="L57" s="5">
        <f>IFERROR(XLOOKUP(C57,'PLAYER MODEL'!A:A,'PLAYER MODEL'!AC:AC),0)</f>
        <v/>
      </c>
      <c r="M57" s="5">
        <f>L57-K57</f>
        <v/>
      </c>
      <c r="N57" s="5">
        <f>M57-F57</f>
        <v/>
      </c>
      <c r="O57" s="5">
        <f>IFERROR(XLOOKUP(C57,'PLAYER MODEL'!A:A,'PLAYER MODEL'!D:D)-XLOOKUP(B57,'PLAYER MODEL'!A:A,'PLAYER MODEL'!D:D),0)</f>
        <v/>
      </c>
      <c r="P57" s="8" t="n"/>
      <c r="Q57" s="5">
        <f>IF(J57&gt;0,"Positive 6GW EV",IF(N57&gt;0,"Positive 8GW EV","No clear EV"))</f>
        <v/>
      </c>
    </row>
    <row r="58">
      <c r="A58" s="8" t="n"/>
      <c r="B58" s="8" t="n"/>
      <c r="C58" s="8" t="n"/>
      <c r="D58" s="8" t="n"/>
      <c r="E58" s="8" t="n"/>
      <c r="F58" s="5">
        <f>MAX(0,E58-D58)*4</f>
        <v/>
      </c>
      <c r="G58" s="5">
        <f>IFERROR(XLOOKUP(B58,'PLAYER MODEL'!A:A,'PLAYER MODEL'!AD:AD),0)</f>
        <v/>
      </c>
      <c r="H58" s="5">
        <f>IFERROR(XLOOKUP(C58,'PLAYER MODEL'!A:A,'PLAYER MODEL'!AD:AD),0)</f>
        <v/>
      </c>
      <c r="I58" s="5">
        <f>H58-G58</f>
        <v/>
      </c>
      <c r="J58" s="5">
        <f>I58-F58</f>
        <v/>
      </c>
      <c r="K58" s="5">
        <f>IFERROR(XLOOKUP(B58,'PLAYER MODEL'!A:A,'PLAYER MODEL'!AC:AC),0)</f>
        <v/>
      </c>
      <c r="L58" s="5">
        <f>IFERROR(XLOOKUP(C58,'PLAYER MODEL'!A:A,'PLAYER MODEL'!AC:AC),0)</f>
        <v/>
      </c>
      <c r="M58" s="5">
        <f>L58-K58</f>
        <v/>
      </c>
      <c r="N58" s="5">
        <f>M58-F58</f>
        <v/>
      </c>
      <c r="O58" s="5">
        <f>IFERROR(XLOOKUP(C58,'PLAYER MODEL'!A:A,'PLAYER MODEL'!D:D)-XLOOKUP(B58,'PLAYER MODEL'!A:A,'PLAYER MODEL'!D:D),0)</f>
        <v/>
      </c>
      <c r="P58" s="8" t="n"/>
      <c r="Q58" s="5">
        <f>IF(J58&gt;0,"Positive 6GW EV",IF(N58&gt;0,"Positive 8GW EV","No clear EV"))</f>
        <v/>
      </c>
    </row>
    <row r="59">
      <c r="A59" s="8" t="n"/>
      <c r="B59" s="8" t="n"/>
      <c r="C59" s="8" t="n"/>
      <c r="D59" s="8" t="n"/>
      <c r="E59" s="8" t="n"/>
      <c r="F59" s="5">
        <f>MAX(0,E59-D59)*4</f>
        <v/>
      </c>
      <c r="G59" s="5">
        <f>IFERROR(XLOOKUP(B59,'PLAYER MODEL'!A:A,'PLAYER MODEL'!AD:AD),0)</f>
        <v/>
      </c>
      <c r="H59" s="5">
        <f>IFERROR(XLOOKUP(C59,'PLAYER MODEL'!A:A,'PLAYER MODEL'!AD:AD),0)</f>
        <v/>
      </c>
      <c r="I59" s="5">
        <f>H59-G59</f>
        <v/>
      </c>
      <c r="J59" s="5">
        <f>I59-F59</f>
        <v/>
      </c>
      <c r="K59" s="5">
        <f>IFERROR(XLOOKUP(B59,'PLAYER MODEL'!A:A,'PLAYER MODEL'!AC:AC),0)</f>
        <v/>
      </c>
      <c r="L59" s="5">
        <f>IFERROR(XLOOKUP(C59,'PLAYER MODEL'!A:A,'PLAYER MODEL'!AC:AC),0)</f>
        <v/>
      </c>
      <c r="M59" s="5">
        <f>L59-K59</f>
        <v/>
      </c>
      <c r="N59" s="5">
        <f>M59-F59</f>
        <v/>
      </c>
      <c r="O59" s="5">
        <f>IFERROR(XLOOKUP(C59,'PLAYER MODEL'!A:A,'PLAYER MODEL'!D:D)-XLOOKUP(B59,'PLAYER MODEL'!A:A,'PLAYER MODEL'!D:D),0)</f>
        <v/>
      </c>
      <c r="P59" s="8" t="n"/>
      <c r="Q59" s="5">
        <f>IF(J59&gt;0,"Positive 6GW EV",IF(N59&gt;0,"Positive 8GW EV","No clear EV"))</f>
        <v/>
      </c>
    </row>
    <row r="60">
      <c r="A60" s="8" t="n"/>
      <c r="B60" s="8" t="n"/>
      <c r="C60" s="8" t="n"/>
      <c r="D60" s="8" t="n"/>
      <c r="E60" s="8" t="n"/>
      <c r="F60" s="5">
        <f>MAX(0,E60-D60)*4</f>
        <v/>
      </c>
      <c r="G60" s="5">
        <f>IFERROR(XLOOKUP(B60,'PLAYER MODEL'!A:A,'PLAYER MODEL'!AD:AD),0)</f>
        <v/>
      </c>
      <c r="H60" s="5">
        <f>IFERROR(XLOOKUP(C60,'PLAYER MODEL'!A:A,'PLAYER MODEL'!AD:AD),0)</f>
        <v/>
      </c>
      <c r="I60" s="5">
        <f>H60-G60</f>
        <v/>
      </c>
      <c r="J60" s="5">
        <f>I60-F60</f>
        <v/>
      </c>
      <c r="K60" s="5">
        <f>IFERROR(XLOOKUP(B60,'PLAYER MODEL'!A:A,'PLAYER MODEL'!AC:AC),0)</f>
        <v/>
      </c>
      <c r="L60" s="5">
        <f>IFERROR(XLOOKUP(C60,'PLAYER MODEL'!A:A,'PLAYER MODEL'!AC:AC),0)</f>
        <v/>
      </c>
      <c r="M60" s="5">
        <f>L60-K60</f>
        <v/>
      </c>
      <c r="N60" s="5">
        <f>M60-F60</f>
        <v/>
      </c>
      <c r="O60" s="5">
        <f>IFERROR(XLOOKUP(C60,'PLAYER MODEL'!A:A,'PLAYER MODEL'!D:D)-XLOOKUP(B60,'PLAYER MODEL'!A:A,'PLAYER MODEL'!D:D),0)</f>
        <v/>
      </c>
      <c r="P60" s="8" t="n"/>
      <c r="Q60" s="5">
        <f>IF(J60&gt;0,"Positive 6GW EV",IF(N60&gt;0,"Positive 8GW EV","No clear EV"))</f>
        <v/>
      </c>
    </row>
    <row r="61">
      <c r="A61" s="8" t="n"/>
      <c r="B61" s="8" t="n"/>
      <c r="C61" s="8" t="n"/>
      <c r="D61" s="8" t="n"/>
      <c r="E61" s="8" t="n"/>
      <c r="F61" s="5">
        <f>MAX(0,E61-D61)*4</f>
        <v/>
      </c>
      <c r="G61" s="5">
        <f>IFERROR(XLOOKUP(B61,'PLAYER MODEL'!A:A,'PLAYER MODEL'!AD:AD),0)</f>
        <v/>
      </c>
      <c r="H61" s="5">
        <f>IFERROR(XLOOKUP(C61,'PLAYER MODEL'!A:A,'PLAYER MODEL'!AD:AD),0)</f>
        <v/>
      </c>
      <c r="I61" s="5">
        <f>H61-G61</f>
        <v/>
      </c>
      <c r="J61" s="5">
        <f>I61-F61</f>
        <v/>
      </c>
      <c r="K61" s="5">
        <f>IFERROR(XLOOKUP(B61,'PLAYER MODEL'!A:A,'PLAYER MODEL'!AC:AC),0)</f>
        <v/>
      </c>
      <c r="L61" s="5">
        <f>IFERROR(XLOOKUP(C61,'PLAYER MODEL'!A:A,'PLAYER MODEL'!AC:AC),0)</f>
        <v/>
      </c>
      <c r="M61" s="5">
        <f>L61-K61</f>
        <v/>
      </c>
      <c r="N61" s="5">
        <f>M61-F61</f>
        <v/>
      </c>
      <c r="O61" s="5">
        <f>IFERROR(XLOOKUP(C61,'PLAYER MODEL'!A:A,'PLAYER MODEL'!D:D)-XLOOKUP(B61,'PLAYER MODEL'!A:A,'PLAYER MODEL'!D:D),0)</f>
        <v/>
      </c>
      <c r="P61" s="8" t="n"/>
      <c r="Q61" s="5">
        <f>IF(J61&gt;0,"Positive 6GW EV",IF(N61&gt;0,"Positive 8GW EV","No clear EV"))</f>
        <v/>
      </c>
    </row>
    <row r="62">
      <c r="A62" s="8" t="n"/>
      <c r="B62" s="8" t="n"/>
      <c r="C62" s="8" t="n"/>
      <c r="D62" s="8" t="n"/>
      <c r="E62" s="8" t="n"/>
      <c r="F62" s="5">
        <f>MAX(0,E62-D62)*4</f>
        <v/>
      </c>
      <c r="G62" s="5">
        <f>IFERROR(XLOOKUP(B62,'PLAYER MODEL'!A:A,'PLAYER MODEL'!AD:AD),0)</f>
        <v/>
      </c>
      <c r="H62" s="5">
        <f>IFERROR(XLOOKUP(C62,'PLAYER MODEL'!A:A,'PLAYER MODEL'!AD:AD),0)</f>
        <v/>
      </c>
      <c r="I62" s="5">
        <f>H62-G62</f>
        <v/>
      </c>
      <c r="J62" s="5">
        <f>I62-F62</f>
        <v/>
      </c>
      <c r="K62" s="5">
        <f>IFERROR(XLOOKUP(B62,'PLAYER MODEL'!A:A,'PLAYER MODEL'!AC:AC),0)</f>
        <v/>
      </c>
      <c r="L62" s="5">
        <f>IFERROR(XLOOKUP(C62,'PLAYER MODEL'!A:A,'PLAYER MODEL'!AC:AC),0)</f>
        <v/>
      </c>
      <c r="M62" s="5">
        <f>L62-K62</f>
        <v/>
      </c>
      <c r="N62" s="5">
        <f>M62-F62</f>
        <v/>
      </c>
      <c r="O62" s="5">
        <f>IFERROR(XLOOKUP(C62,'PLAYER MODEL'!A:A,'PLAYER MODEL'!D:D)-XLOOKUP(B62,'PLAYER MODEL'!A:A,'PLAYER MODEL'!D:D),0)</f>
        <v/>
      </c>
      <c r="P62" s="8" t="n"/>
      <c r="Q62" s="5">
        <f>IF(J62&gt;0,"Positive 6GW EV",IF(N62&gt;0,"Positive 8GW EV","No clear EV"))</f>
        <v/>
      </c>
    </row>
    <row r="63">
      <c r="A63" s="8" t="n"/>
      <c r="B63" s="8" t="n"/>
      <c r="C63" s="8" t="n"/>
      <c r="D63" s="8" t="n"/>
      <c r="E63" s="8" t="n"/>
      <c r="F63" s="5">
        <f>MAX(0,E63-D63)*4</f>
        <v/>
      </c>
      <c r="G63" s="5">
        <f>IFERROR(XLOOKUP(B63,'PLAYER MODEL'!A:A,'PLAYER MODEL'!AD:AD),0)</f>
        <v/>
      </c>
      <c r="H63" s="5">
        <f>IFERROR(XLOOKUP(C63,'PLAYER MODEL'!A:A,'PLAYER MODEL'!AD:AD),0)</f>
        <v/>
      </c>
      <c r="I63" s="5">
        <f>H63-G63</f>
        <v/>
      </c>
      <c r="J63" s="5">
        <f>I63-F63</f>
        <v/>
      </c>
      <c r="K63" s="5">
        <f>IFERROR(XLOOKUP(B63,'PLAYER MODEL'!A:A,'PLAYER MODEL'!AC:AC),0)</f>
        <v/>
      </c>
      <c r="L63" s="5">
        <f>IFERROR(XLOOKUP(C63,'PLAYER MODEL'!A:A,'PLAYER MODEL'!AC:AC),0)</f>
        <v/>
      </c>
      <c r="M63" s="5">
        <f>L63-K63</f>
        <v/>
      </c>
      <c r="N63" s="5">
        <f>M63-F63</f>
        <v/>
      </c>
      <c r="O63" s="5">
        <f>IFERROR(XLOOKUP(C63,'PLAYER MODEL'!A:A,'PLAYER MODEL'!D:D)-XLOOKUP(B63,'PLAYER MODEL'!A:A,'PLAYER MODEL'!D:D),0)</f>
        <v/>
      </c>
      <c r="P63" s="8" t="n"/>
      <c r="Q63" s="5">
        <f>IF(J63&gt;0,"Positive 6GW EV",IF(N63&gt;0,"Positive 8GW EV","No clear EV"))</f>
        <v/>
      </c>
    </row>
    <row r="64">
      <c r="A64" s="8" t="n"/>
      <c r="B64" s="8" t="n"/>
      <c r="C64" s="8" t="n"/>
      <c r="D64" s="8" t="n"/>
      <c r="E64" s="8" t="n"/>
      <c r="F64" s="5">
        <f>MAX(0,E64-D64)*4</f>
        <v/>
      </c>
      <c r="G64" s="5">
        <f>IFERROR(XLOOKUP(B64,'PLAYER MODEL'!A:A,'PLAYER MODEL'!AD:AD),0)</f>
        <v/>
      </c>
      <c r="H64" s="5">
        <f>IFERROR(XLOOKUP(C64,'PLAYER MODEL'!A:A,'PLAYER MODEL'!AD:AD),0)</f>
        <v/>
      </c>
      <c r="I64" s="5">
        <f>H64-G64</f>
        <v/>
      </c>
      <c r="J64" s="5">
        <f>I64-F64</f>
        <v/>
      </c>
      <c r="K64" s="5">
        <f>IFERROR(XLOOKUP(B64,'PLAYER MODEL'!A:A,'PLAYER MODEL'!AC:AC),0)</f>
        <v/>
      </c>
      <c r="L64" s="5">
        <f>IFERROR(XLOOKUP(C64,'PLAYER MODEL'!A:A,'PLAYER MODEL'!AC:AC),0)</f>
        <v/>
      </c>
      <c r="M64" s="5">
        <f>L64-K64</f>
        <v/>
      </c>
      <c r="N64" s="5">
        <f>M64-F64</f>
        <v/>
      </c>
      <c r="O64" s="5">
        <f>IFERROR(XLOOKUP(C64,'PLAYER MODEL'!A:A,'PLAYER MODEL'!D:D)-XLOOKUP(B64,'PLAYER MODEL'!A:A,'PLAYER MODEL'!D:D),0)</f>
        <v/>
      </c>
      <c r="P64" s="8" t="n"/>
      <c r="Q64" s="5">
        <f>IF(J64&gt;0,"Positive 6GW EV",IF(N64&gt;0,"Positive 8GW EV","No clear EV"))</f>
        <v/>
      </c>
    </row>
    <row r="65">
      <c r="A65" s="8" t="n"/>
      <c r="B65" s="8" t="n"/>
      <c r="C65" s="8" t="n"/>
      <c r="D65" s="8" t="n"/>
      <c r="E65" s="8" t="n"/>
      <c r="F65" s="5">
        <f>MAX(0,E65-D65)*4</f>
        <v/>
      </c>
      <c r="G65" s="5">
        <f>IFERROR(XLOOKUP(B65,'PLAYER MODEL'!A:A,'PLAYER MODEL'!AD:AD),0)</f>
        <v/>
      </c>
      <c r="H65" s="5">
        <f>IFERROR(XLOOKUP(C65,'PLAYER MODEL'!A:A,'PLAYER MODEL'!AD:AD),0)</f>
        <v/>
      </c>
      <c r="I65" s="5">
        <f>H65-G65</f>
        <v/>
      </c>
      <c r="J65" s="5">
        <f>I65-F65</f>
        <v/>
      </c>
      <c r="K65" s="5">
        <f>IFERROR(XLOOKUP(B65,'PLAYER MODEL'!A:A,'PLAYER MODEL'!AC:AC),0)</f>
        <v/>
      </c>
      <c r="L65" s="5">
        <f>IFERROR(XLOOKUP(C65,'PLAYER MODEL'!A:A,'PLAYER MODEL'!AC:AC),0)</f>
        <v/>
      </c>
      <c r="M65" s="5">
        <f>L65-K65</f>
        <v/>
      </c>
      <c r="N65" s="5">
        <f>M65-F65</f>
        <v/>
      </c>
      <c r="O65" s="5">
        <f>IFERROR(XLOOKUP(C65,'PLAYER MODEL'!A:A,'PLAYER MODEL'!D:D)-XLOOKUP(B65,'PLAYER MODEL'!A:A,'PLAYER MODEL'!D:D),0)</f>
        <v/>
      </c>
      <c r="P65" s="8" t="n"/>
      <c r="Q65" s="5">
        <f>IF(J65&gt;0,"Positive 6GW EV",IF(N65&gt;0,"Positive 8GW EV","No clear EV"))</f>
        <v/>
      </c>
    </row>
    <row r="66">
      <c r="A66" s="8" t="n"/>
      <c r="B66" s="8" t="n"/>
      <c r="C66" s="8" t="n"/>
      <c r="D66" s="8" t="n"/>
      <c r="E66" s="8" t="n"/>
      <c r="F66" s="5">
        <f>MAX(0,E66-D66)*4</f>
        <v/>
      </c>
      <c r="G66" s="5">
        <f>IFERROR(XLOOKUP(B66,'PLAYER MODEL'!A:A,'PLAYER MODEL'!AD:AD),0)</f>
        <v/>
      </c>
      <c r="H66" s="5">
        <f>IFERROR(XLOOKUP(C66,'PLAYER MODEL'!A:A,'PLAYER MODEL'!AD:AD),0)</f>
        <v/>
      </c>
      <c r="I66" s="5">
        <f>H66-G66</f>
        <v/>
      </c>
      <c r="J66" s="5">
        <f>I66-F66</f>
        <v/>
      </c>
      <c r="K66" s="5">
        <f>IFERROR(XLOOKUP(B66,'PLAYER MODEL'!A:A,'PLAYER MODEL'!AC:AC),0)</f>
        <v/>
      </c>
      <c r="L66" s="5">
        <f>IFERROR(XLOOKUP(C66,'PLAYER MODEL'!A:A,'PLAYER MODEL'!AC:AC),0)</f>
        <v/>
      </c>
      <c r="M66" s="5">
        <f>L66-K66</f>
        <v/>
      </c>
      <c r="N66" s="5">
        <f>M66-F66</f>
        <v/>
      </c>
      <c r="O66" s="5">
        <f>IFERROR(XLOOKUP(C66,'PLAYER MODEL'!A:A,'PLAYER MODEL'!D:D)-XLOOKUP(B66,'PLAYER MODEL'!A:A,'PLAYER MODEL'!D:D),0)</f>
        <v/>
      </c>
      <c r="P66" s="8" t="n"/>
      <c r="Q66" s="5">
        <f>IF(J66&gt;0,"Positive 6GW EV",IF(N66&gt;0,"Positive 8GW EV","No clear EV"))</f>
        <v/>
      </c>
    </row>
    <row r="67">
      <c r="A67" s="8" t="n"/>
      <c r="B67" s="8" t="n"/>
      <c r="C67" s="8" t="n"/>
      <c r="D67" s="8" t="n"/>
      <c r="E67" s="8" t="n"/>
      <c r="F67" s="5">
        <f>MAX(0,E67-D67)*4</f>
        <v/>
      </c>
      <c r="G67" s="5">
        <f>IFERROR(XLOOKUP(B67,'PLAYER MODEL'!A:A,'PLAYER MODEL'!AD:AD),0)</f>
        <v/>
      </c>
      <c r="H67" s="5">
        <f>IFERROR(XLOOKUP(C67,'PLAYER MODEL'!A:A,'PLAYER MODEL'!AD:AD),0)</f>
        <v/>
      </c>
      <c r="I67" s="5">
        <f>H67-G67</f>
        <v/>
      </c>
      <c r="J67" s="5">
        <f>I67-F67</f>
        <v/>
      </c>
      <c r="K67" s="5">
        <f>IFERROR(XLOOKUP(B67,'PLAYER MODEL'!A:A,'PLAYER MODEL'!AC:AC),0)</f>
        <v/>
      </c>
      <c r="L67" s="5">
        <f>IFERROR(XLOOKUP(C67,'PLAYER MODEL'!A:A,'PLAYER MODEL'!AC:AC),0)</f>
        <v/>
      </c>
      <c r="M67" s="5">
        <f>L67-K67</f>
        <v/>
      </c>
      <c r="N67" s="5">
        <f>M67-F67</f>
        <v/>
      </c>
      <c r="O67" s="5">
        <f>IFERROR(XLOOKUP(C67,'PLAYER MODEL'!A:A,'PLAYER MODEL'!D:D)-XLOOKUP(B67,'PLAYER MODEL'!A:A,'PLAYER MODEL'!D:D),0)</f>
        <v/>
      </c>
      <c r="P67" s="8" t="n"/>
      <c r="Q67" s="5">
        <f>IF(J67&gt;0,"Positive 6GW EV",IF(N67&gt;0,"Positive 8GW EV","No clear EV"))</f>
        <v/>
      </c>
    </row>
    <row r="68">
      <c r="A68" s="8" t="n"/>
      <c r="B68" s="8" t="n"/>
      <c r="C68" s="8" t="n"/>
      <c r="D68" s="8" t="n"/>
      <c r="E68" s="8" t="n"/>
      <c r="F68" s="5">
        <f>MAX(0,E68-D68)*4</f>
        <v/>
      </c>
      <c r="G68" s="5">
        <f>IFERROR(XLOOKUP(B68,'PLAYER MODEL'!A:A,'PLAYER MODEL'!AD:AD),0)</f>
        <v/>
      </c>
      <c r="H68" s="5">
        <f>IFERROR(XLOOKUP(C68,'PLAYER MODEL'!A:A,'PLAYER MODEL'!AD:AD),0)</f>
        <v/>
      </c>
      <c r="I68" s="5">
        <f>H68-G68</f>
        <v/>
      </c>
      <c r="J68" s="5">
        <f>I68-F68</f>
        <v/>
      </c>
      <c r="K68" s="5">
        <f>IFERROR(XLOOKUP(B68,'PLAYER MODEL'!A:A,'PLAYER MODEL'!AC:AC),0)</f>
        <v/>
      </c>
      <c r="L68" s="5">
        <f>IFERROR(XLOOKUP(C68,'PLAYER MODEL'!A:A,'PLAYER MODEL'!AC:AC),0)</f>
        <v/>
      </c>
      <c r="M68" s="5">
        <f>L68-K68</f>
        <v/>
      </c>
      <c r="N68" s="5">
        <f>M68-F68</f>
        <v/>
      </c>
      <c r="O68" s="5">
        <f>IFERROR(XLOOKUP(C68,'PLAYER MODEL'!A:A,'PLAYER MODEL'!D:D)-XLOOKUP(B68,'PLAYER MODEL'!A:A,'PLAYER MODEL'!D:D),0)</f>
        <v/>
      </c>
      <c r="P68" s="8" t="n"/>
      <c r="Q68" s="5">
        <f>IF(J68&gt;0,"Positive 6GW EV",IF(N68&gt;0,"Positive 8GW EV","No clear EV"))</f>
        <v/>
      </c>
    </row>
    <row r="69">
      <c r="A69" s="8" t="n"/>
      <c r="B69" s="8" t="n"/>
      <c r="C69" s="8" t="n"/>
      <c r="D69" s="8" t="n"/>
      <c r="E69" s="8" t="n"/>
      <c r="F69" s="5">
        <f>MAX(0,E69-D69)*4</f>
        <v/>
      </c>
      <c r="G69" s="5">
        <f>IFERROR(XLOOKUP(B69,'PLAYER MODEL'!A:A,'PLAYER MODEL'!AD:AD),0)</f>
        <v/>
      </c>
      <c r="H69" s="5">
        <f>IFERROR(XLOOKUP(C69,'PLAYER MODEL'!A:A,'PLAYER MODEL'!AD:AD),0)</f>
        <v/>
      </c>
      <c r="I69" s="5">
        <f>H69-G69</f>
        <v/>
      </c>
      <c r="J69" s="5">
        <f>I69-F69</f>
        <v/>
      </c>
      <c r="K69" s="5">
        <f>IFERROR(XLOOKUP(B69,'PLAYER MODEL'!A:A,'PLAYER MODEL'!AC:AC),0)</f>
        <v/>
      </c>
      <c r="L69" s="5">
        <f>IFERROR(XLOOKUP(C69,'PLAYER MODEL'!A:A,'PLAYER MODEL'!AC:AC),0)</f>
        <v/>
      </c>
      <c r="M69" s="5">
        <f>L69-K69</f>
        <v/>
      </c>
      <c r="N69" s="5">
        <f>M69-F69</f>
        <v/>
      </c>
      <c r="O69" s="5">
        <f>IFERROR(XLOOKUP(C69,'PLAYER MODEL'!A:A,'PLAYER MODEL'!D:D)-XLOOKUP(B69,'PLAYER MODEL'!A:A,'PLAYER MODEL'!D:D),0)</f>
        <v/>
      </c>
      <c r="P69" s="8" t="n"/>
      <c r="Q69" s="5">
        <f>IF(J69&gt;0,"Positive 6GW EV",IF(N69&gt;0,"Positive 8GW EV","No clear EV"))</f>
        <v/>
      </c>
    </row>
    <row r="70">
      <c r="A70" s="8" t="n"/>
      <c r="B70" s="8" t="n"/>
      <c r="C70" s="8" t="n"/>
      <c r="D70" s="8" t="n"/>
      <c r="E70" s="8" t="n"/>
      <c r="F70" s="5">
        <f>MAX(0,E70-D70)*4</f>
        <v/>
      </c>
      <c r="G70" s="5">
        <f>IFERROR(XLOOKUP(B70,'PLAYER MODEL'!A:A,'PLAYER MODEL'!AD:AD),0)</f>
        <v/>
      </c>
      <c r="H70" s="5">
        <f>IFERROR(XLOOKUP(C70,'PLAYER MODEL'!A:A,'PLAYER MODEL'!AD:AD),0)</f>
        <v/>
      </c>
      <c r="I70" s="5">
        <f>H70-G70</f>
        <v/>
      </c>
      <c r="J70" s="5">
        <f>I70-F70</f>
        <v/>
      </c>
      <c r="K70" s="5">
        <f>IFERROR(XLOOKUP(B70,'PLAYER MODEL'!A:A,'PLAYER MODEL'!AC:AC),0)</f>
        <v/>
      </c>
      <c r="L70" s="5">
        <f>IFERROR(XLOOKUP(C70,'PLAYER MODEL'!A:A,'PLAYER MODEL'!AC:AC),0)</f>
        <v/>
      </c>
      <c r="M70" s="5">
        <f>L70-K70</f>
        <v/>
      </c>
      <c r="N70" s="5">
        <f>M70-F70</f>
        <v/>
      </c>
      <c r="O70" s="5">
        <f>IFERROR(XLOOKUP(C70,'PLAYER MODEL'!A:A,'PLAYER MODEL'!D:D)-XLOOKUP(B70,'PLAYER MODEL'!A:A,'PLAYER MODEL'!D:D),0)</f>
        <v/>
      </c>
      <c r="P70" s="8" t="n"/>
      <c r="Q70" s="5">
        <f>IF(J70&gt;0,"Positive 6GW EV",IF(N70&gt;0,"Positive 8GW EV","No clear EV"))</f>
        <v/>
      </c>
    </row>
    <row r="71">
      <c r="A71" s="8" t="n"/>
      <c r="B71" s="8" t="n"/>
      <c r="C71" s="8" t="n"/>
      <c r="D71" s="8" t="n"/>
      <c r="E71" s="8" t="n"/>
      <c r="F71" s="5">
        <f>MAX(0,E71-D71)*4</f>
        <v/>
      </c>
      <c r="G71" s="5">
        <f>IFERROR(XLOOKUP(B71,'PLAYER MODEL'!A:A,'PLAYER MODEL'!AD:AD),0)</f>
        <v/>
      </c>
      <c r="H71" s="5">
        <f>IFERROR(XLOOKUP(C71,'PLAYER MODEL'!A:A,'PLAYER MODEL'!AD:AD),0)</f>
        <v/>
      </c>
      <c r="I71" s="5">
        <f>H71-G71</f>
        <v/>
      </c>
      <c r="J71" s="5">
        <f>I71-F71</f>
        <v/>
      </c>
      <c r="K71" s="5">
        <f>IFERROR(XLOOKUP(B71,'PLAYER MODEL'!A:A,'PLAYER MODEL'!AC:AC),0)</f>
        <v/>
      </c>
      <c r="L71" s="5">
        <f>IFERROR(XLOOKUP(C71,'PLAYER MODEL'!A:A,'PLAYER MODEL'!AC:AC),0)</f>
        <v/>
      </c>
      <c r="M71" s="5">
        <f>L71-K71</f>
        <v/>
      </c>
      <c r="N71" s="5">
        <f>M71-F71</f>
        <v/>
      </c>
      <c r="O71" s="5">
        <f>IFERROR(XLOOKUP(C71,'PLAYER MODEL'!A:A,'PLAYER MODEL'!D:D)-XLOOKUP(B71,'PLAYER MODEL'!A:A,'PLAYER MODEL'!D:D),0)</f>
        <v/>
      </c>
      <c r="P71" s="8" t="n"/>
      <c r="Q71" s="5">
        <f>IF(J71&gt;0,"Positive 6GW EV",IF(N71&gt;0,"Positive 8GW EV","No clear EV"))</f>
        <v/>
      </c>
    </row>
    <row r="72">
      <c r="A72" s="8" t="n"/>
      <c r="B72" s="8" t="n"/>
      <c r="C72" s="8" t="n"/>
      <c r="D72" s="8" t="n"/>
      <c r="E72" s="8" t="n"/>
      <c r="F72" s="5">
        <f>MAX(0,E72-D72)*4</f>
        <v/>
      </c>
      <c r="G72" s="5">
        <f>IFERROR(XLOOKUP(B72,'PLAYER MODEL'!A:A,'PLAYER MODEL'!AD:AD),0)</f>
        <v/>
      </c>
      <c r="H72" s="5">
        <f>IFERROR(XLOOKUP(C72,'PLAYER MODEL'!A:A,'PLAYER MODEL'!AD:AD),0)</f>
        <v/>
      </c>
      <c r="I72" s="5">
        <f>H72-G72</f>
        <v/>
      </c>
      <c r="J72" s="5">
        <f>I72-F72</f>
        <v/>
      </c>
      <c r="K72" s="5">
        <f>IFERROR(XLOOKUP(B72,'PLAYER MODEL'!A:A,'PLAYER MODEL'!AC:AC),0)</f>
        <v/>
      </c>
      <c r="L72" s="5">
        <f>IFERROR(XLOOKUP(C72,'PLAYER MODEL'!A:A,'PLAYER MODEL'!AC:AC),0)</f>
        <v/>
      </c>
      <c r="M72" s="5">
        <f>L72-K72</f>
        <v/>
      </c>
      <c r="N72" s="5">
        <f>M72-F72</f>
        <v/>
      </c>
      <c r="O72" s="5">
        <f>IFERROR(XLOOKUP(C72,'PLAYER MODEL'!A:A,'PLAYER MODEL'!D:D)-XLOOKUP(B72,'PLAYER MODEL'!A:A,'PLAYER MODEL'!D:D),0)</f>
        <v/>
      </c>
      <c r="P72" s="8" t="n"/>
      <c r="Q72" s="5">
        <f>IF(J72&gt;0,"Positive 6GW EV",IF(N72&gt;0,"Positive 8GW EV","No clear EV"))</f>
        <v/>
      </c>
    </row>
    <row r="73">
      <c r="A73" s="8" t="n"/>
      <c r="B73" s="8" t="n"/>
      <c r="C73" s="8" t="n"/>
      <c r="D73" s="8" t="n"/>
      <c r="E73" s="8" t="n"/>
      <c r="F73" s="5">
        <f>MAX(0,E73-D73)*4</f>
        <v/>
      </c>
      <c r="G73" s="5">
        <f>IFERROR(XLOOKUP(B73,'PLAYER MODEL'!A:A,'PLAYER MODEL'!AD:AD),0)</f>
        <v/>
      </c>
      <c r="H73" s="5">
        <f>IFERROR(XLOOKUP(C73,'PLAYER MODEL'!A:A,'PLAYER MODEL'!AD:AD),0)</f>
        <v/>
      </c>
      <c r="I73" s="5">
        <f>H73-G73</f>
        <v/>
      </c>
      <c r="J73" s="5">
        <f>I73-F73</f>
        <v/>
      </c>
      <c r="K73" s="5">
        <f>IFERROR(XLOOKUP(B73,'PLAYER MODEL'!A:A,'PLAYER MODEL'!AC:AC),0)</f>
        <v/>
      </c>
      <c r="L73" s="5">
        <f>IFERROR(XLOOKUP(C73,'PLAYER MODEL'!A:A,'PLAYER MODEL'!AC:AC),0)</f>
        <v/>
      </c>
      <c r="M73" s="5">
        <f>L73-K73</f>
        <v/>
      </c>
      <c r="N73" s="5">
        <f>M73-F73</f>
        <v/>
      </c>
      <c r="O73" s="5">
        <f>IFERROR(XLOOKUP(C73,'PLAYER MODEL'!A:A,'PLAYER MODEL'!D:D)-XLOOKUP(B73,'PLAYER MODEL'!A:A,'PLAYER MODEL'!D:D),0)</f>
        <v/>
      </c>
      <c r="P73" s="8" t="n"/>
      <c r="Q73" s="5">
        <f>IF(J73&gt;0,"Positive 6GW EV",IF(N73&gt;0,"Positive 8GW EV","No clear EV"))</f>
        <v/>
      </c>
    </row>
    <row r="74">
      <c r="A74" s="8" t="n"/>
      <c r="B74" s="8" t="n"/>
      <c r="C74" s="8" t="n"/>
      <c r="D74" s="8" t="n"/>
      <c r="E74" s="8" t="n"/>
      <c r="F74" s="5">
        <f>MAX(0,E74-D74)*4</f>
        <v/>
      </c>
      <c r="G74" s="5">
        <f>IFERROR(XLOOKUP(B74,'PLAYER MODEL'!A:A,'PLAYER MODEL'!AD:AD),0)</f>
        <v/>
      </c>
      <c r="H74" s="5">
        <f>IFERROR(XLOOKUP(C74,'PLAYER MODEL'!A:A,'PLAYER MODEL'!AD:AD),0)</f>
        <v/>
      </c>
      <c r="I74" s="5">
        <f>H74-G74</f>
        <v/>
      </c>
      <c r="J74" s="5">
        <f>I74-F74</f>
        <v/>
      </c>
      <c r="K74" s="5">
        <f>IFERROR(XLOOKUP(B74,'PLAYER MODEL'!A:A,'PLAYER MODEL'!AC:AC),0)</f>
        <v/>
      </c>
      <c r="L74" s="5">
        <f>IFERROR(XLOOKUP(C74,'PLAYER MODEL'!A:A,'PLAYER MODEL'!AC:AC),0)</f>
        <v/>
      </c>
      <c r="M74" s="5">
        <f>L74-K74</f>
        <v/>
      </c>
      <c r="N74" s="5">
        <f>M74-F74</f>
        <v/>
      </c>
      <c r="O74" s="5">
        <f>IFERROR(XLOOKUP(C74,'PLAYER MODEL'!A:A,'PLAYER MODEL'!D:D)-XLOOKUP(B74,'PLAYER MODEL'!A:A,'PLAYER MODEL'!D:D),0)</f>
        <v/>
      </c>
      <c r="P74" s="8" t="n"/>
      <c r="Q74" s="5">
        <f>IF(J74&gt;0,"Positive 6GW EV",IF(N74&gt;0,"Positive 8GW EV","No clear EV"))</f>
        <v/>
      </c>
    </row>
    <row r="75">
      <c r="A75" s="8" t="n"/>
      <c r="B75" s="8" t="n"/>
      <c r="C75" s="8" t="n"/>
      <c r="D75" s="8" t="n"/>
      <c r="E75" s="8" t="n"/>
      <c r="F75" s="5">
        <f>MAX(0,E75-D75)*4</f>
        <v/>
      </c>
      <c r="G75" s="5">
        <f>IFERROR(XLOOKUP(B75,'PLAYER MODEL'!A:A,'PLAYER MODEL'!AD:AD),0)</f>
        <v/>
      </c>
      <c r="H75" s="5">
        <f>IFERROR(XLOOKUP(C75,'PLAYER MODEL'!A:A,'PLAYER MODEL'!AD:AD),0)</f>
        <v/>
      </c>
      <c r="I75" s="5">
        <f>H75-G75</f>
        <v/>
      </c>
      <c r="J75" s="5">
        <f>I75-F75</f>
        <v/>
      </c>
      <c r="K75" s="5">
        <f>IFERROR(XLOOKUP(B75,'PLAYER MODEL'!A:A,'PLAYER MODEL'!AC:AC),0)</f>
        <v/>
      </c>
      <c r="L75" s="5">
        <f>IFERROR(XLOOKUP(C75,'PLAYER MODEL'!A:A,'PLAYER MODEL'!AC:AC),0)</f>
        <v/>
      </c>
      <c r="M75" s="5">
        <f>L75-K75</f>
        <v/>
      </c>
      <c r="N75" s="5">
        <f>M75-F75</f>
        <v/>
      </c>
      <c r="O75" s="5">
        <f>IFERROR(XLOOKUP(C75,'PLAYER MODEL'!A:A,'PLAYER MODEL'!D:D)-XLOOKUP(B75,'PLAYER MODEL'!A:A,'PLAYER MODEL'!D:D),0)</f>
        <v/>
      </c>
      <c r="P75" s="8" t="n"/>
      <c r="Q75" s="5">
        <f>IF(J75&gt;0,"Positive 6GW EV",IF(N75&gt;0,"Positive 8GW EV","No clear EV"))</f>
        <v/>
      </c>
    </row>
    <row r="76">
      <c r="A76" s="8" t="n"/>
      <c r="B76" s="8" t="n"/>
      <c r="C76" s="8" t="n"/>
      <c r="D76" s="8" t="n"/>
      <c r="E76" s="8" t="n"/>
      <c r="F76" s="5">
        <f>MAX(0,E76-D76)*4</f>
        <v/>
      </c>
      <c r="G76" s="5">
        <f>IFERROR(XLOOKUP(B76,'PLAYER MODEL'!A:A,'PLAYER MODEL'!AD:AD),0)</f>
        <v/>
      </c>
      <c r="H76" s="5">
        <f>IFERROR(XLOOKUP(C76,'PLAYER MODEL'!A:A,'PLAYER MODEL'!AD:AD),0)</f>
        <v/>
      </c>
      <c r="I76" s="5">
        <f>H76-G76</f>
        <v/>
      </c>
      <c r="J76" s="5">
        <f>I76-F76</f>
        <v/>
      </c>
      <c r="K76" s="5">
        <f>IFERROR(XLOOKUP(B76,'PLAYER MODEL'!A:A,'PLAYER MODEL'!AC:AC),0)</f>
        <v/>
      </c>
      <c r="L76" s="5">
        <f>IFERROR(XLOOKUP(C76,'PLAYER MODEL'!A:A,'PLAYER MODEL'!AC:AC),0)</f>
        <v/>
      </c>
      <c r="M76" s="5">
        <f>L76-K76</f>
        <v/>
      </c>
      <c r="N76" s="5">
        <f>M76-F76</f>
        <v/>
      </c>
      <c r="O76" s="5">
        <f>IFERROR(XLOOKUP(C76,'PLAYER MODEL'!A:A,'PLAYER MODEL'!D:D)-XLOOKUP(B76,'PLAYER MODEL'!A:A,'PLAYER MODEL'!D:D),0)</f>
        <v/>
      </c>
      <c r="P76" s="8" t="n"/>
      <c r="Q76" s="5">
        <f>IF(J76&gt;0,"Positive 6GW EV",IF(N76&gt;0,"Positive 8GW EV","No clear EV"))</f>
        <v/>
      </c>
    </row>
    <row r="77">
      <c r="A77" s="8" t="n"/>
      <c r="B77" s="8" t="n"/>
      <c r="C77" s="8" t="n"/>
      <c r="D77" s="8" t="n"/>
      <c r="E77" s="8" t="n"/>
      <c r="F77" s="5">
        <f>MAX(0,E77-D77)*4</f>
        <v/>
      </c>
      <c r="G77" s="5">
        <f>IFERROR(XLOOKUP(B77,'PLAYER MODEL'!A:A,'PLAYER MODEL'!AD:AD),0)</f>
        <v/>
      </c>
      <c r="H77" s="5">
        <f>IFERROR(XLOOKUP(C77,'PLAYER MODEL'!A:A,'PLAYER MODEL'!AD:AD),0)</f>
        <v/>
      </c>
      <c r="I77" s="5">
        <f>H77-G77</f>
        <v/>
      </c>
      <c r="J77" s="5">
        <f>I77-F77</f>
        <v/>
      </c>
      <c r="K77" s="5">
        <f>IFERROR(XLOOKUP(B77,'PLAYER MODEL'!A:A,'PLAYER MODEL'!AC:AC),0)</f>
        <v/>
      </c>
      <c r="L77" s="5">
        <f>IFERROR(XLOOKUP(C77,'PLAYER MODEL'!A:A,'PLAYER MODEL'!AC:AC),0)</f>
        <v/>
      </c>
      <c r="M77" s="5">
        <f>L77-K77</f>
        <v/>
      </c>
      <c r="N77" s="5">
        <f>M77-F77</f>
        <v/>
      </c>
      <c r="O77" s="5">
        <f>IFERROR(XLOOKUP(C77,'PLAYER MODEL'!A:A,'PLAYER MODEL'!D:D)-XLOOKUP(B77,'PLAYER MODEL'!A:A,'PLAYER MODEL'!D:D),0)</f>
        <v/>
      </c>
      <c r="P77" s="8" t="n"/>
      <c r="Q77" s="5">
        <f>IF(J77&gt;0,"Positive 6GW EV",IF(N77&gt;0,"Positive 8GW EV","No clear EV"))</f>
        <v/>
      </c>
    </row>
    <row r="78">
      <c r="A78" s="8" t="n"/>
      <c r="B78" s="8" t="n"/>
      <c r="C78" s="8" t="n"/>
      <c r="D78" s="8" t="n"/>
      <c r="E78" s="8" t="n"/>
      <c r="F78" s="5">
        <f>MAX(0,E78-D78)*4</f>
        <v/>
      </c>
      <c r="G78" s="5">
        <f>IFERROR(XLOOKUP(B78,'PLAYER MODEL'!A:A,'PLAYER MODEL'!AD:AD),0)</f>
        <v/>
      </c>
      <c r="H78" s="5">
        <f>IFERROR(XLOOKUP(C78,'PLAYER MODEL'!A:A,'PLAYER MODEL'!AD:AD),0)</f>
        <v/>
      </c>
      <c r="I78" s="5">
        <f>H78-G78</f>
        <v/>
      </c>
      <c r="J78" s="5">
        <f>I78-F78</f>
        <v/>
      </c>
      <c r="K78" s="5">
        <f>IFERROR(XLOOKUP(B78,'PLAYER MODEL'!A:A,'PLAYER MODEL'!AC:AC),0)</f>
        <v/>
      </c>
      <c r="L78" s="5">
        <f>IFERROR(XLOOKUP(C78,'PLAYER MODEL'!A:A,'PLAYER MODEL'!AC:AC),0)</f>
        <v/>
      </c>
      <c r="M78" s="5">
        <f>L78-K78</f>
        <v/>
      </c>
      <c r="N78" s="5">
        <f>M78-F78</f>
        <v/>
      </c>
      <c r="O78" s="5">
        <f>IFERROR(XLOOKUP(C78,'PLAYER MODEL'!A:A,'PLAYER MODEL'!D:D)-XLOOKUP(B78,'PLAYER MODEL'!A:A,'PLAYER MODEL'!D:D),0)</f>
        <v/>
      </c>
      <c r="P78" s="8" t="n"/>
      <c r="Q78" s="5">
        <f>IF(J78&gt;0,"Positive 6GW EV",IF(N78&gt;0,"Positive 8GW EV","No clear EV"))</f>
        <v/>
      </c>
    </row>
    <row r="79">
      <c r="A79" s="8" t="n"/>
      <c r="B79" s="8" t="n"/>
      <c r="C79" s="8" t="n"/>
      <c r="D79" s="8" t="n"/>
      <c r="E79" s="8" t="n"/>
      <c r="F79" s="5">
        <f>MAX(0,E79-D79)*4</f>
        <v/>
      </c>
      <c r="G79" s="5">
        <f>IFERROR(XLOOKUP(B79,'PLAYER MODEL'!A:A,'PLAYER MODEL'!AD:AD),0)</f>
        <v/>
      </c>
      <c r="H79" s="5">
        <f>IFERROR(XLOOKUP(C79,'PLAYER MODEL'!A:A,'PLAYER MODEL'!AD:AD),0)</f>
        <v/>
      </c>
      <c r="I79" s="5">
        <f>H79-G79</f>
        <v/>
      </c>
      <c r="J79" s="5">
        <f>I79-F79</f>
        <v/>
      </c>
      <c r="K79" s="5">
        <f>IFERROR(XLOOKUP(B79,'PLAYER MODEL'!A:A,'PLAYER MODEL'!AC:AC),0)</f>
        <v/>
      </c>
      <c r="L79" s="5">
        <f>IFERROR(XLOOKUP(C79,'PLAYER MODEL'!A:A,'PLAYER MODEL'!AC:AC),0)</f>
        <v/>
      </c>
      <c r="M79" s="5">
        <f>L79-K79</f>
        <v/>
      </c>
      <c r="N79" s="5">
        <f>M79-F79</f>
        <v/>
      </c>
      <c r="O79" s="5">
        <f>IFERROR(XLOOKUP(C79,'PLAYER MODEL'!A:A,'PLAYER MODEL'!D:D)-XLOOKUP(B79,'PLAYER MODEL'!A:A,'PLAYER MODEL'!D:D),0)</f>
        <v/>
      </c>
      <c r="P79" s="8" t="n"/>
      <c r="Q79" s="5">
        <f>IF(J79&gt;0,"Positive 6GW EV",IF(N79&gt;0,"Positive 8GW EV","No clear EV"))</f>
        <v/>
      </c>
    </row>
    <row r="80">
      <c r="A80" s="8" t="n"/>
      <c r="B80" s="8" t="n"/>
      <c r="C80" s="8" t="n"/>
      <c r="D80" s="8" t="n"/>
      <c r="E80" s="8" t="n"/>
      <c r="F80" s="5">
        <f>MAX(0,E80-D80)*4</f>
        <v/>
      </c>
      <c r="G80" s="5">
        <f>IFERROR(XLOOKUP(B80,'PLAYER MODEL'!A:A,'PLAYER MODEL'!AD:AD),0)</f>
        <v/>
      </c>
      <c r="H80" s="5">
        <f>IFERROR(XLOOKUP(C80,'PLAYER MODEL'!A:A,'PLAYER MODEL'!AD:AD),0)</f>
        <v/>
      </c>
      <c r="I80" s="5">
        <f>H80-G80</f>
        <v/>
      </c>
      <c r="J80" s="5">
        <f>I80-F80</f>
        <v/>
      </c>
      <c r="K80" s="5">
        <f>IFERROR(XLOOKUP(B80,'PLAYER MODEL'!A:A,'PLAYER MODEL'!AC:AC),0)</f>
        <v/>
      </c>
      <c r="L80" s="5">
        <f>IFERROR(XLOOKUP(C80,'PLAYER MODEL'!A:A,'PLAYER MODEL'!AC:AC),0)</f>
        <v/>
      </c>
      <c r="M80" s="5">
        <f>L80-K80</f>
        <v/>
      </c>
      <c r="N80" s="5">
        <f>M80-F80</f>
        <v/>
      </c>
      <c r="O80" s="5">
        <f>IFERROR(XLOOKUP(C80,'PLAYER MODEL'!A:A,'PLAYER MODEL'!D:D)-XLOOKUP(B80,'PLAYER MODEL'!A:A,'PLAYER MODEL'!D:D),0)</f>
        <v/>
      </c>
      <c r="P80" s="8" t="n"/>
      <c r="Q80" s="5">
        <f>IF(J80&gt;0,"Positive 6GW EV",IF(N80&gt;0,"Positive 8GW EV","No clear EV"))</f>
        <v/>
      </c>
    </row>
    <row r="81">
      <c r="A81" s="8" t="n"/>
      <c r="B81" s="8" t="n"/>
      <c r="C81" s="8" t="n"/>
      <c r="D81" s="8" t="n"/>
      <c r="E81" s="8" t="n"/>
      <c r="F81" s="5">
        <f>MAX(0,E81-D81)*4</f>
        <v/>
      </c>
      <c r="G81" s="5">
        <f>IFERROR(XLOOKUP(B81,'PLAYER MODEL'!A:A,'PLAYER MODEL'!AD:AD),0)</f>
        <v/>
      </c>
      <c r="H81" s="5">
        <f>IFERROR(XLOOKUP(C81,'PLAYER MODEL'!A:A,'PLAYER MODEL'!AD:AD),0)</f>
        <v/>
      </c>
      <c r="I81" s="5">
        <f>H81-G81</f>
        <v/>
      </c>
      <c r="J81" s="5">
        <f>I81-F81</f>
        <v/>
      </c>
      <c r="K81" s="5">
        <f>IFERROR(XLOOKUP(B81,'PLAYER MODEL'!A:A,'PLAYER MODEL'!AC:AC),0)</f>
        <v/>
      </c>
      <c r="L81" s="5">
        <f>IFERROR(XLOOKUP(C81,'PLAYER MODEL'!A:A,'PLAYER MODEL'!AC:AC),0)</f>
        <v/>
      </c>
      <c r="M81" s="5">
        <f>L81-K81</f>
        <v/>
      </c>
      <c r="N81" s="5">
        <f>M81-F81</f>
        <v/>
      </c>
      <c r="O81" s="5">
        <f>IFERROR(XLOOKUP(C81,'PLAYER MODEL'!A:A,'PLAYER MODEL'!D:D)-XLOOKUP(B81,'PLAYER MODEL'!A:A,'PLAYER MODEL'!D:D),0)</f>
        <v/>
      </c>
      <c r="P81" s="8" t="n"/>
      <c r="Q81" s="5">
        <f>IF(J81&gt;0,"Positive 6GW EV",IF(N81&gt;0,"Positive 8GW EV","No clear EV"))</f>
        <v/>
      </c>
    </row>
    <row r="82">
      <c r="A82" s="8" t="n"/>
      <c r="B82" s="8" t="n"/>
      <c r="C82" s="8" t="n"/>
      <c r="D82" s="8" t="n"/>
      <c r="E82" s="8" t="n"/>
      <c r="F82" s="5">
        <f>MAX(0,E82-D82)*4</f>
        <v/>
      </c>
      <c r="G82" s="5">
        <f>IFERROR(XLOOKUP(B82,'PLAYER MODEL'!A:A,'PLAYER MODEL'!AD:AD),0)</f>
        <v/>
      </c>
      <c r="H82" s="5">
        <f>IFERROR(XLOOKUP(C82,'PLAYER MODEL'!A:A,'PLAYER MODEL'!AD:AD),0)</f>
        <v/>
      </c>
      <c r="I82" s="5">
        <f>H82-G82</f>
        <v/>
      </c>
      <c r="J82" s="5">
        <f>I82-F82</f>
        <v/>
      </c>
      <c r="K82" s="5">
        <f>IFERROR(XLOOKUP(B82,'PLAYER MODEL'!A:A,'PLAYER MODEL'!AC:AC),0)</f>
        <v/>
      </c>
      <c r="L82" s="5">
        <f>IFERROR(XLOOKUP(C82,'PLAYER MODEL'!A:A,'PLAYER MODEL'!AC:AC),0)</f>
        <v/>
      </c>
      <c r="M82" s="5">
        <f>L82-K82</f>
        <v/>
      </c>
      <c r="N82" s="5">
        <f>M82-F82</f>
        <v/>
      </c>
      <c r="O82" s="5">
        <f>IFERROR(XLOOKUP(C82,'PLAYER MODEL'!A:A,'PLAYER MODEL'!D:D)-XLOOKUP(B82,'PLAYER MODEL'!A:A,'PLAYER MODEL'!D:D),0)</f>
        <v/>
      </c>
      <c r="P82" s="8" t="n"/>
      <c r="Q82" s="5">
        <f>IF(J82&gt;0,"Positive 6GW EV",IF(N82&gt;0,"Positive 8GW EV","No clear EV"))</f>
        <v/>
      </c>
    </row>
    <row r="83">
      <c r="A83" s="8" t="n"/>
      <c r="B83" s="8" t="n"/>
      <c r="C83" s="8" t="n"/>
      <c r="D83" s="8" t="n"/>
      <c r="E83" s="8" t="n"/>
      <c r="F83" s="5">
        <f>MAX(0,E83-D83)*4</f>
        <v/>
      </c>
      <c r="G83" s="5">
        <f>IFERROR(XLOOKUP(B83,'PLAYER MODEL'!A:A,'PLAYER MODEL'!AD:AD),0)</f>
        <v/>
      </c>
      <c r="H83" s="5">
        <f>IFERROR(XLOOKUP(C83,'PLAYER MODEL'!A:A,'PLAYER MODEL'!AD:AD),0)</f>
        <v/>
      </c>
      <c r="I83" s="5">
        <f>H83-G83</f>
        <v/>
      </c>
      <c r="J83" s="5">
        <f>I83-F83</f>
        <v/>
      </c>
      <c r="K83" s="5">
        <f>IFERROR(XLOOKUP(B83,'PLAYER MODEL'!A:A,'PLAYER MODEL'!AC:AC),0)</f>
        <v/>
      </c>
      <c r="L83" s="5">
        <f>IFERROR(XLOOKUP(C83,'PLAYER MODEL'!A:A,'PLAYER MODEL'!AC:AC),0)</f>
        <v/>
      </c>
      <c r="M83" s="5">
        <f>L83-K83</f>
        <v/>
      </c>
      <c r="N83" s="5">
        <f>M83-F83</f>
        <v/>
      </c>
      <c r="O83" s="5">
        <f>IFERROR(XLOOKUP(C83,'PLAYER MODEL'!A:A,'PLAYER MODEL'!D:D)-XLOOKUP(B83,'PLAYER MODEL'!A:A,'PLAYER MODEL'!D:D),0)</f>
        <v/>
      </c>
      <c r="P83" s="8" t="n"/>
      <c r="Q83" s="5">
        <f>IF(J83&gt;0,"Positive 6GW EV",IF(N83&gt;0,"Positive 8GW EV","No clear EV"))</f>
        <v/>
      </c>
    </row>
    <row r="84">
      <c r="A84" s="8" t="n"/>
      <c r="B84" s="8" t="n"/>
      <c r="C84" s="8" t="n"/>
      <c r="D84" s="8" t="n"/>
      <c r="E84" s="8" t="n"/>
      <c r="F84" s="5">
        <f>MAX(0,E84-D84)*4</f>
        <v/>
      </c>
      <c r="G84" s="5">
        <f>IFERROR(XLOOKUP(B84,'PLAYER MODEL'!A:A,'PLAYER MODEL'!AD:AD),0)</f>
        <v/>
      </c>
      <c r="H84" s="5">
        <f>IFERROR(XLOOKUP(C84,'PLAYER MODEL'!A:A,'PLAYER MODEL'!AD:AD),0)</f>
        <v/>
      </c>
      <c r="I84" s="5">
        <f>H84-G84</f>
        <v/>
      </c>
      <c r="J84" s="5">
        <f>I84-F84</f>
        <v/>
      </c>
      <c r="K84" s="5">
        <f>IFERROR(XLOOKUP(B84,'PLAYER MODEL'!A:A,'PLAYER MODEL'!AC:AC),0)</f>
        <v/>
      </c>
      <c r="L84" s="5">
        <f>IFERROR(XLOOKUP(C84,'PLAYER MODEL'!A:A,'PLAYER MODEL'!AC:AC),0)</f>
        <v/>
      </c>
      <c r="M84" s="5">
        <f>L84-K84</f>
        <v/>
      </c>
      <c r="N84" s="5">
        <f>M84-F84</f>
        <v/>
      </c>
      <c r="O84" s="5">
        <f>IFERROR(XLOOKUP(C84,'PLAYER MODEL'!A:A,'PLAYER MODEL'!D:D)-XLOOKUP(B84,'PLAYER MODEL'!A:A,'PLAYER MODEL'!D:D),0)</f>
        <v/>
      </c>
      <c r="P84" s="8" t="n"/>
      <c r="Q84" s="5">
        <f>IF(J84&gt;0,"Positive 6GW EV",IF(N84&gt;0,"Positive 8GW EV","No clear EV"))</f>
        <v/>
      </c>
    </row>
    <row r="85">
      <c r="A85" s="8" t="n"/>
      <c r="B85" s="8" t="n"/>
      <c r="C85" s="8" t="n"/>
      <c r="D85" s="8" t="n"/>
      <c r="E85" s="8" t="n"/>
      <c r="F85" s="5">
        <f>MAX(0,E85-D85)*4</f>
        <v/>
      </c>
      <c r="G85" s="5">
        <f>IFERROR(XLOOKUP(B85,'PLAYER MODEL'!A:A,'PLAYER MODEL'!AD:AD),0)</f>
        <v/>
      </c>
      <c r="H85" s="5">
        <f>IFERROR(XLOOKUP(C85,'PLAYER MODEL'!A:A,'PLAYER MODEL'!AD:AD),0)</f>
        <v/>
      </c>
      <c r="I85" s="5">
        <f>H85-G85</f>
        <v/>
      </c>
      <c r="J85" s="5">
        <f>I85-F85</f>
        <v/>
      </c>
      <c r="K85" s="5">
        <f>IFERROR(XLOOKUP(B85,'PLAYER MODEL'!A:A,'PLAYER MODEL'!AC:AC),0)</f>
        <v/>
      </c>
      <c r="L85" s="5">
        <f>IFERROR(XLOOKUP(C85,'PLAYER MODEL'!A:A,'PLAYER MODEL'!AC:AC),0)</f>
        <v/>
      </c>
      <c r="M85" s="5">
        <f>L85-K85</f>
        <v/>
      </c>
      <c r="N85" s="5">
        <f>M85-F85</f>
        <v/>
      </c>
      <c r="O85" s="5">
        <f>IFERROR(XLOOKUP(C85,'PLAYER MODEL'!A:A,'PLAYER MODEL'!D:D)-XLOOKUP(B85,'PLAYER MODEL'!A:A,'PLAYER MODEL'!D:D),0)</f>
        <v/>
      </c>
      <c r="P85" s="8" t="n"/>
      <c r="Q85" s="5">
        <f>IF(J85&gt;0,"Positive 6GW EV",IF(N85&gt;0,"Positive 8GW EV","No clear EV"))</f>
        <v/>
      </c>
    </row>
    <row r="86">
      <c r="A86" s="8" t="n"/>
      <c r="B86" s="8" t="n"/>
      <c r="C86" s="8" t="n"/>
      <c r="D86" s="8" t="n"/>
      <c r="E86" s="8" t="n"/>
      <c r="F86" s="5">
        <f>MAX(0,E86-D86)*4</f>
        <v/>
      </c>
      <c r="G86" s="5">
        <f>IFERROR(XLOOKUP(B86,'PLAYER MODEL'!A:A,'PLAYER MODEL'!AD:AD),0)</f>
        <v/>
      </c>
      <c r="H86" s="5">
        <f>IFERROR(XLOOKUP(C86,'PLAYER MODEL'!A:A,'PLAYER MODEL'!AD:AD),0)</f>
        <v/>
      </c>
      <c r="I86" s="5">
        <f>H86-G86</f>
        <v/>
      </c>
      <c r="J86" s="5">
        <f>I86-F86</f>
        <v/>
      </c>
      <c r="K86" s="5">
        <f>IFERROR(XLOOKUP(B86,'PLAYER MODEL'!A:A,'PLAYER MODEL'!AC:AC),0)</f>
        <v/>
      </c>
      <c r="L86" s="5">
        <f>IFERROR(XLOOKUP(C86,'PLAYER MODEL'!A:A,'PLAYER MODEL'!AC:AC),0)</f>
        <v/>
      </c>
      <c r="M86" s="5">
        <f>L86-K86</f>
        <v/>
      </c>
      <c r="N86" s="5">
        <f>M86-F86</f>
        <v/>
      </c>
      <c r="O86" s="5">
        <f>IFERROR(XLOOKUP(C86,'PLAYER MODEL'!A:A,'PLAYER MODEL'!D:D)-XLOOKUP(B86,'PLAYER MODEL'!A:A,'PLAYER MODEL'!D:D),0)</f>
        <v/>
      </c>
      <c r="P86" s="8" t="n"/>
      <c r="Q86" s="5">
        <f>IF(J86&gt;0,"Positive 6GW EV",IF(N86&gt;0,"Positive 8GW EV","No clear EV"))</f>
        <v/>
      </c>
    </row>
    <row r="87">
      <c r="A87" s="8" t="n"/>
      <c r="B87" s="8" t="n"/>
      <c r="C87" s="8" t="n"/>
      <c r="D87" s="8" t="n"/>
      <c r="E87" s="8" t="n"/>
      <c r="F87" s="5">
        <f>MAX(0,E87-D87)*4</f>
        <v/>
      </c>
      <c r="G87" s="5">
        <f>IFERROR(XLOOKUP(B87,'PLAYER MODEL'!A:A,'PLAYER MODEL'!AD:AD),0)</f>
        <v/>
      </c>
      <c r="H87" s="5">
        <f>IFERROR(XLOOKUP(C87,'PLAYER MODEL'!A:A,'PLAYER MODEL'!AD:AD),0)</f>
        <v/>
      </c>
      <c r="I87" s="5">
        <f>H87-G87</f>
        <v/>
      </c>
      <c r="J87" s="5">
        <f>I87-F87</f>
        <v/>
      </c>
      <c r="K87" s="5">
        <f>IFERROR(XLOOKUP(B87,'PLAYER MODEL'!A:A,'PLAYER MODEL'!AC:AC),0)</f>
        <v/>
      </c>
      <c r="L87" s="5">
        <f>IFERROR(XLOOKUP(C87,'PLAYER MODEL'!A:A,'PLAYER MODEL'!AC:AC),0)</f>
        <v/>
      </c>
      <c r="M87" s="5">
        <f>L87-K87</f>
        <v/>
      </c>
      <c r="N87" s="5">
        <f>M87-F87</f>
        <v/>
      </c>
      <c r="O87" s="5">
        <f>IFERROR(XLOOKUP(C87,'PLAYER MODEL'!A:A,'PLAYER MODEL'!D:D)-XLOOKUP(B87,'PLAYER MODEL'!A:A,'PLAYER MODEL'!D:D),0)</f>
        <v/>
      </c>
      <c r="P87" s="8" t="n"/>
      <c r="Q87" s="5">
        <f>IF(J87&gt;0,"Positive 6GW EV",IF(N87&gt;0,"Positive 8GW EV","No clear EV"))</f>
        <v/>
      </c>
    </row>
    <row r="88">
      <c r="A88" s="8" t="n"/>
      <c r="B88" s="8" t="n"/>
      <c r="C88" s="8" t="n"/>
      <c r="D88" s="8" t="n"/>
      <c r="E88" s="8" t="n"/>
      <c r="F88" s="5">
        <f>MAX(0,E88-D88)*4</f>
        <v/>
      </c>
      <c r="G88" s="5">
        <f>IFERROR(XLOOKUP(B88,'PLAYER MODEL'!A:A,'PLAYER MODEL'!AD:AD),0)</f>
        <v/>
      </c>
      <c r="H88" s="5">
        <f>IFERROR(XLOOKUP(C88,'PLAYER MODEL'!A:A,'PLAYER MODEL'!AD:AD),0)</f>
        <v/>
      </c>
      <c r="I88" s="5">
        <f>H88-G88</f>
        <v/>
      </c>
      <c r="J88" s="5">
        <f>I88-F88</f>
        <v/>
      </c>
      <c r="K88" s="5">
        <f>IFERROR(XLOOKUP(B88,'PLAYER MODEL'!A:A,'PLAYER MODEL'!AC:AC),0)</f>
        <v/>
      </c>
      <c r="L88" s="5">
        <f>IFERROR(XLOOKUP(C88,'PLAYER MODEL'!A:A,'PLAYER MODEL'!AC:AC),0)</f>
        <v/>
      </c>
      <c r="M88" s="5">
        <f>L88-K88</f>
        <v/>
      </c>
      <c r="N88" s="5">
        <f>M88-F88</f>
        <v/>
      </c>
      <c r="O88" s="5">
        <f>IFERROR(XLOOKUP(C88,'PLAYER MODEL'!A:A,'PLAYER MODEL'!D:D)-XLOOKUP(B88,'PLAYER MODEL'!A:A,'PLAYER MODEL'!D:D),0)</f>
        <v/>
      </c>
      <c r="P88" s="8" t="n"/>
      <c r="Q88" s="5">
        <f>IF(J88&gt;0,"Positive 6GW EV",IF(N88&gt;0,"Positive 8GW EV","No clear EV"))</f>
        <v/>
      </c>
    </row>
    <row r="89">
      <c r="A89" s="8" t="n"/>
      <c r="B89" s="8" t="n"/>
      <c r="C89" s="8" t="n"/>
      <c r="D89" s="8" t="n"/>
      <c r="E89" s="8" t="n"/>
      <c r="F89" s="5">
        <f>MAX(0,E89-D89)*4</f>
        <v/>
      </c>
      <c r="G89" s="5">
        <f>IFERROR(XLOOKUP(B89,'PLAYER MODEL'!A:A,'PLAYER MODEL'!AD:AD),0)</f>
        <v/>
      </c>
      <c r="H89" s="5">
        <f>IFERROR(XLOOKUP(C89,'PLAYER MODEL'!A:A,'PLAYER MODEL'!AD:AD),0)</f>
        <v/>
      </c>
      <c r="I89" s="5">
        <f>H89-G89</f>
        <v/>
      </c>
      <c r="J89" s="5">
        <f>I89-F89</f>
        <v/>
      </c>
      <c r="K89" s="5">
        <f>IFERROR(XLOOKUP(B89,'PLAYER MODEL'!A:A,'PLAYER MODEL'!AC:AC),0)</f>
        <v/>
      </c>
      <c r="L89" s="5">
        <f>IFERROR(XLOOKUP(C89,'PLAYER MODEL'!A:A,'PLAYER MODEL'!AC:AC),0)</f>
        <v/>
      </c>
      <c r="M89" s="5">
        <f>L89-K89</f>
        <v/>
      </c>
      <c r="N89" s="5">
        <f>M89-F89</f>
        <v/>
      </c>
      <c r="O89" s="5">
        <f>IFERROR(XLOOKUP(C89,'PLAYER MODEL'!A:A,'PLAYER MODEL'!D:D)-XLOOKUP(B89,'PLAYER MODEL'!A:A,'PLAYER MODEL'!D:D),0)</f>
        <v/>
      </c>
      <c r="P89" s="8" t="n"/>
      <c r="Q89" s="5">
        <f>IF(J89&gt;0,"Positive 6GW EV",IF(N89&gt;0,"Positive 8GW EV","No clear EV"))</f>
        <v/>
      </c>
    </row>
    <row r="90">
      <c r="A90" s="8" t="n"/>
      <c r="B90" s="8" t="n"/>
      <c r="C90" s="8" t="n"/>
      <c r="D90" s="8" t="n"/>
      <c r="E90" s="8" t="n"/>
      <c r="F90" s="5">
        <f>MAX(0,E90-D90)*4</f>
        <v/>
      </c>
      <c r="G90" s="5">
        <f>IFERROR(XLOOKUP(B90,'PLAYER MODEL'!A:A,'PLAYER MODEL'!AD:AD),0)</f>
        <v/>
      </c>
      <c r="H90" s="5">
        <f>IFERROR(XLOOKUP(C90,'PLAYER MODEL'!A:A,'PLAYER MODEL'!AD:AD),0)</f>
        <v/>
      </c>
      <c r="I90" s="5">
        <f>H90-G90</f>
        <v/>
      </c>
      <c r="J90" s="5">
        <f>I90-F90</f>
        <v/>
      </c>
      <c r="K90" s="5">
        <f>IFERROR(XLOOKUP(B90,'PLAYER MODEL'!A:A,'PLAYER MODEL'!AC:AC),0)</f>
        <v/>
      </c>
      <c r="L90" s="5">
        <f>IFERROR(XLOOKUP(C90,'PLAYER MODEL'!A:A,'PLAYER MODEL'!AC:AC),0)</f>
        <v/>
      </c>
      <c r="M90" s="5">
        <f>L90-K90</f>
        <v/>
      </c>
      <c r="N90" s="5">
        <f>M90-F90</f>
        <v/>
      </c>
      <c r="O90" s="5">
        <f>IFERROR(XLOOKUP(C90,'PLAYER MODEL'!A:A,'PLAYER MODEL'!D:D)-XLOOKUP(B90,'PLAYER MODEL'!A:A,'PLAYER MODEL'!D:D),0)</f>
        <v/>
      </c>
      <c r="P90" s="8" t="n"/>
      <c r="Q90" s="5">
        <f>IF(J90&gt;0,"Positive 6GW EV",IF(N90&gt;0,"Positive 8GW EV","No clear EV"))</f>
        <v/>
      </c>
    </row>
    <row r="91">
      <c r="A91" s="8" t="n"/>
      <c r="B91" s="8" t="n"/>
      <c r="C91" s="8" t="n"/>
      <c r="D91" s="8" t="n"/>
      <c r="E91" s="8" t="n"/>
      <c r="F91" s="5">
        <f>MAX(0,E91-D91)*4</f>
        <v/>
      </c>
      <c r="G91" s="5">
        <f>IFERROR(XLOOKUP(B91,'PLAYER MODEL'!A:A,'PLAYER MODEL'!AD:AD),0)</f>
        <v/>
      </c>
      <c r="H91" s="5">
        <f>IFERROR(XLOOKUP(C91,'PLAYER MODEL'!A:A,'PLAYER MODEL'!AD:AD),0)</f>
        <v/>
      </c>
      <c r="I91" s="5">
        <f>H91-G91</f>
        <v/>
      </c>
      <c r="J91" s="5">
        <f>I91-F91</f>
        <v/>
      </c>
      <c r="K91" s="5">
        <f>IFERROR(XLOOKUP(B91,'PLAYER MODEL'!A:A,'PLAYER MODEL'!AC:AC),0)</f>
        <v/>
      </c>
      <c r="L91" s="5">
        <f>IFERROR(XLOOKUP(C91,'PLAYER MODEL'!A:A,'PLAYER MODEL'!AC:AC),0)</f>
        <v/>
      </c>
      <c r="M91" s="5">
        <f>L91-K91</f>
        <v/>
      </c>
      <c r="N91" s="5">
        <f>M91-F91</f>
        <v/>
      </c>
      <c r="O91" s="5">
        <f>IFERROR(XLOOKUP(C91,'PLAYER MODEL'!A:A,'PLAYER MODEL'!D:D)-XLOOKUP(B91,'PLAYER MODEL'!A:A,'PLAYER MODEL'!D:D),0)</f>
        <v/>
      </c>
      <c r="P91" s="8" t="n"/>
      <c r="Q91" s="5">
        <f>IF(J91&gt;0,"Positive 6GW EV",IF(N91&gt;0,"Positive 8GW EV","No clear EV"))</f>
        <v/>
      </c>
    </row>
    <row r="92">
      <c r="A92" s="8" t="n"/>
      <c r="B92" s="8" t="n"/>
      <c r="C92" s="8" t="n"/>
      <c r="D92" s="8" t="n"/>
      <c r="E92" s="8" t="n"/>
      <c r="F92" s="5">
        <f>MAX(0,E92-D92)*4</f>
        <v/>
      </c>
      <c r="G92" s="5">
        <f>IFERROR(XLOOKUP(B92,'PLAYER MODEL'!A:A,'PLAYER MODEL'!AD:AD),0)</f>
        <v/>
      </c>
      <c r="H92" s="5">
        <f>IFERROR(XLOOKUP(C92,'PLAYER MODEL'!A:A,'PLAYER MODEL'!AD:AD),0)</f>
        <v/>
      </c>
      <c r="I92" s="5">
        <f>H92-G92</f>
        <v/>
      </c>
      <c r="J92" s="5">
        <f>I92-F92</f>
        <v/>
      </c>
      <c r="K92" s="5">
        <f>IFERROR(XLOOKUP(B92,'PLAYER MODEL'!A:A,'PLAYER MODEL'!AC:AC),0)</f>
        <v/>
      </c>
      <c r="L92" s="5">
        <f>IFERROR(XLOOKUP(C92,'PLAYER MODEL'!A:A,'PLAYER MODEL'!AC:AC),0)</f>
        <v/>
      </c>
      <c r="M92" s="5">
        <f>L92-K92</f>
        <v/>
      </c>
      <c r="N92" s="5">
        <f>M92-F92</f>
        <v/>
      </c>
      <c r="O92" s="5">
        <f>IFERROR(XLOOKUP(C92,'PLAYER MODEL'!A:A,'PLAYER MODEL'!D:D)-XLOOKUP(B92,'PLAYER MODEL'!A:A,'PLAYER MODEL'!D:D),0)</f>
        <v/>
      </c>
      <c r="P92" s="8" t="n"/>
      <c r="Q92" s="5">
        <f>IF(J92&gt;0,"Positive 6GW EV",IF(N92&gt;0,"Positive 8GW EV","No clear EV"))</f>
        <v/>
      </c>
    </row>
    <row r="93">
      <c r="A93" s="8" t="n"/>
      <c r="B93" s="8" t="n"/>
      <c r="C93" s="8" t="n"/>
      <c r="D93" s="8" t="n"/>
      <c r="E93" s="8" t="n"/>
      <c r="F93" s="5">
        <f>MAX(0,E93-D93)*4</f>
        <v/>
      </c>
      <c r="G93" s="5">
        <f>IFERROR(XLOOKUP(B93,'PLAYER MODEL'!A:A,'PLAYER MODEL'!AD:AD),0)</f>
        <v/>
      </c>
      <c r="H93" s="5">
        <f>IFERROR(XLOOKUP(C93,'PLAYER MODEL'!A:A,'PLAYER MODEL'!AD:AD),0)</f>
        <v/>
      </c>
      <c r="I93" s="5">
        <f>H93-G93</f>
        <v/>
      </c>
      <c r="J93" s="5">
        <f>I93-F93</f>
        <v/>
      </c>
      <c r="K93" s="5">
        <f>IFERROR(XLOOKUP(B93,'PLAYER MODEL'!A:A,'PLAYER MODEL'!AC:AC),0)</f>
        <v/>
      </c>
      <c r="L93" s="5">
        <f>IFERROR(XLOOKUP(C93,'PLAYER MODEL'!A:A,'PLAYER MODEL'!AC:AC),0)</f>
        <v/>
      </c>
      <c r="M93" s="5">
        <f>L93-K93</f>
        <v/>
      </c>
      <c r="N93" s="5">
        <f>M93-F93</f>
        <v/>
      </c>
      <c r="O93" s="5">
        <f>IFERROR(XLOOKUP(C93,'PLAYER MODEL'!A:A,'PLAYER MODEL'!D:D)-XLOOKUP(B93,'PLAYER MODEL'!A:A,'PLAYER MODEL'!D:D),0)</f>
        <v/>
      </c>
      <c r="P93" s="8" t="n"/>
      <c r="Q93" s="5">
        <f>IF(J93&gt;0,"Positive 6GW EV",IF(N93&gt;0,"Positive 8GW EV","No clear EV"))</f>
        <v/>
      </c>
    </row>
    <row r="94">
      <c r="A94" s="8" t="n"/>
      <c r="B94" s="8" t="n"/>
      <c r="C94" s="8" t="n"/>
      <c r="D94" s="8" t="n"/>
      <c r="E94" s="8" t="n"/>
      <c r="F94" s="5">
        <f>MAX(0,E94-D94)*4</f>
        <v/>
      </c>
      <c r="G94" s="5">
        <f>IFERROR(XLOOKUP(B94,'PLAYER MODEL'!A:A,'PLAYER MODEL'!AD:AD),0)</f>
        <v/>
      </c>
      <c r="H94" s="5">
        <f>IFERROR(XLOOKUP(C94,'PLAYER MODEL'!A:A,'PLAYER MODEL'!AD:AD),0)</f>
        <v/>
      </c>
      <c r="I94" s="5">
        <f>H94-G94</f>
        <v/>
      </c>
      <c r="J94" s="5">
        <f>I94-F94</f>
        <v/>
      </c>
      <c r="K94" s="5">
        <f>IFERROR(XLOOKUP(B94,'PLAYER MODEL'!A:A,'PLAYER MODEL'!AC:AC),0)</f>
        <v/>
      </c>
      <c r="L94" s="5">
        <f>IFERROR(XLOOKUP(C94,'PLAYER MODEL'!A:A,'PLAYER MODEL'!AC:AC),0)</f>
        <v/>
      </c>
      <c r="M94" s="5">
        <f>L94-K94</f>
        <v/>
      </c>
      <c r="N94" s="5">
        <f>M94-F94</f>
        <v/>
      </c>
      <c r="O94" s="5">
        <f>IFERROR(XLOOKUP(C94,'PLAYER MODEL'!A:A,'PLAYER MODEL'!D:D)-XLOOKUP(B94,'PLAYER MODEL'!A:A,'PLAYER MODEL'!D:D),0)</f>
        <v/>
      </c>
      <c r="P94" s="8" t="n"/>
      <c r="Q94" s="5">
        <f>IF(J94&gt;0,"Positive 6GW EV",IF(N94&gt;0,"Positive 8GW EV","No clear EV"))</f>
        <v/>
      </c>
    </row>
    <row r="95">
      <c r="A95" s="8" t="n"/>
      <c r="B95" s="8" t="n"/>
      <c r="C95" s="8" t="n"/>
      <c r="D95" s="8" t="n"/>
      <c r="E95" s="8" t="n"/>
      <c r="F95" s="5">
        <f>MAX(0,E95-D95)*4</f>
        <v/>
      </c>
      <c r="G95" s="5">
        <f>IFERROR(XLOOKUP(B95,'PLAYER MODEL'!A:A,'PLAYER MODEL'!AD:AD),0)</f>
        <v/>
      </c>
      <c r="H95" s="5">
        <f>IFERROR(XLOOKUP(C95,'PLAYER MODEL'!A:A,'PLAYER MODEL'!AD:AD),0)</f>
        <v/>
      </c>
      <c r="I95" s="5">
        <f>H95-G95</f>
        <v/>
      </c>
      <c r="J95" s="5">
        <f>I95-F95</f>
        <v/>
      </c>
      <c r="K95" s="5">
        <f>IFERROR(XLOOKUP(B95,'PLAYER MODEL'!A:A,'PLAYER MODEL'!AC:AC),0)</f>
        <v/>
      </c>
      <c r="L95" s="5">
        <f>IFERROR(XLOOKUP(C95,'PLAYER MODEL'!A:A,'PLAYER MODEL'!AC:AC),0)</f>
        <v/>
      </c>
      <c r="M95" s="5">
        <f>L95-K95</f>
        <v/>
      </c>
      <c r="N95" s="5">
        <f>M95-F95</f>
        <v/>
      </c>
      <c r="O95" s="5">
        <f>IFERROR(XLOOKUP(C95,'PLAYER MODEL'!A:A,'PLAYER MODEL'!D:D)-XLOOKUP(B95,'PLAYER MODEL'!A:A,'PLAYER MODEL'!D:D),0)</f>
        <v/>
      </c>
      <c r="P95" s="8" t="n"/>
      <c r="Q95" s="5">
        <f>IF(J95&gt;0,"Positive 6GW EV",IF(N95&gt;0,"Positive 8GW EV","No clear EV"))</f>
        <v/>
      </c>
    </row>
    <row r="96">
      <c r="A96" s="8" t="n"/>
      <c r="B96" s="8" t="n"/>
      <c r="C96" s="8" t="n"/>
      <c r="D96" s="8" t="n"/>
      <c r="E96" s="8" t="n"/>
      <c r="F96" s="5">
        <f>MAX(0,E96-D96)*4</f>
        <v/>
      </c>
      <c r="G96" s="5">
        <f>IFERROR(XLOOKUP(B96,'PLAYER MODEL'!A:A,'PLAYER MODEL'!AD:AD),0)</f>
        <v/>
      </c>
      <c r="H96" s="5">
        <f>IFERROR(XLOOKUP(C96,'PLAYER MODEL'!A:A,'PLAYER MODEL'!AD:AD),0)</f>
        <v/>
      </c>
      <c r="I96" s="5">
        <f>H96-G96</f>
        <v/>
      </c>
      <c r="J96" s="5">
        <f>I96-F96</f>
        <v/>
      </c>
      <c r="K96" s="5">
        <f>IFERROR(XLOOKUP(B96,'PLAYER MODEL'!A:A,'PLAYER MODEL'!AC:AC),0)</f>
        <v/>
      </c>
      <c r="L96" s="5">
        <f>IFERROR(XLOOKUP(C96,'PLAYER MODEL'!A:A,'PLAYER MODEL'!AC:AC),0)</f>
        <v/>
      </c>
      <c r="M96" s="5">
        <f>L96-K96</f>
        <v/>
      </c>
      <c r="N96" s="5">
        <f>M96-F96</f>
        <v/>
      </c>
      <c r="O96" s="5">
        <f>IFERROR(XLOOKUP(C96,'PLAYER MODEL'!A:A,'PLAYER MODEL'!D:D)-XLOOKUP(B96,'PLAYER MODEL'!A:A,'PLAYER MODEL'!D:D),0)</f>
        <v/>
      </c>
      <c r="P96" s="8" t="n"/>
      <c r="Q96" s="5">
        <f>IF(J96&gt;0,"Positive 6GW EV",IF(N96&gt;0,"Positive 8GW EV","No clear EV"))</f>
        <v/>
      </c>
    </row>
    <row r="97">
      <c r="A97" s="8" t="n"/>
      <c r="B97" s="8" t="n"/>
      <c r="C97" s="8" t="n"/>
      <c r="D97" s="8" t="n"/>
      <c r="E97" s="8" t="n"/>
      <c r="F97" s="5">
        <f>MAX(0,E97-D97)*4</f>
        <v/>
      </c>
      <c r="G97" s="5">
        <f>IFERROR(XLOOKUP(B97,'PLAYER MODEL'!A:A,'PLAYER MODEL'!AD:AD),0)</f>
        <v/>
      </c>
      <c r="H97" s="5">
        <f>IFERROR(XLOOKUP(C97,'PLAYER MODEL'!A:A,'PLAYER MODEL'!AD:AD),0)</f>
        <v/>
      </c>
      <c r="I97" s="5">
        <f>H97-G97</f>
        <v/>
      </c>
      <c r="J97" s="5">
        <f>I97-F97</f>
        <v/>
      </c>
      <c r="K97" s="5">
        <f>IFERROR(XLOOKUP(B97,'PLAYER MODEL'!A:A,'PLAYER MODEL'!AC:AC),0)</f>
        <v/>
      </c>
      <c r="L97" s="5">
        <f>IFERROR(XLOOKUP(C97,'PLAYER MODEL'!A:A,'PLAYER MODEL'!AC:AC),0)</f>
        <v/>
      </c>
      <c r="M97" s="5">
        <f>L97-K97</f>
        <v/>
      </c>
      <c r="N97" s="5">
        <f>M97-F97</f>
        <v/>
      </c>
      <c r="O97" s="5">
        <f>IFERROR(XLOOKUP(C97,'PLAYER MODEL'!A:A,'PLAYER MODEL'!D:D)-XLOOKUP(B97,'PLAYER MODEL'!A:A,'PLAYER MODEL'!D:D),0)</f>
        <v/>
      </c>
      <c r="P97" s="8" t="n"/>
      <c r="Q97" s="5">
        <f>IF(J97&gt;0,"Positive 6GW EV",IF(N97&gt;0,"Positive 8GW EV","No clear EV"))</f>
        <v/>
      </c>
    </row>
    <row r="98">
      <c r="A98" s="8" t="n"/>
      <c r="B98" s="8" t="n"/>
      <c r="C98" s="8" t="n"/>
      <c r="D98" s="8" t="n"/>
      <c r="E98" s="8" t="n"/>
      <c r="F98" s="5">
        <f>MAX(0,E98-D98)*4</f>
        <v/>
      </c>
      <c r="G98" s="5">
        <f>IFERROR(XLOOKUP(B98,'PLAYER MODEL'!A:A,'PLAYER MODEL'!AD:AD),0)</f>
        <v/>
      </c>
      <c r="H98" s="5">
        <f>IFERROR(XLOOKUP(C98,'PLAYER MODEL'!A:A,'PLAYER MODEL'!AD:AD),0)</f>
        <v/>
      </c>
      <c r="I98" s="5">
        <f>H98-G98</f>
        <v/>
      </c>
      <c r="J98" s="5">
        <f>I98-F98</f>
        <v/>
      </c>
      <c r="K98" s="5">
        <f>IFERROR(XLOOKUP(B98,'PLAYER MODEL'!A:A,'PLAYER MODEL'!AC:AC),0)</f>
        <v/>
      </c>
      <c r="L98" s="5">
        <f>IFERROR(XLOOKUP(C98,'PLAYER MODEL'!A:A,'PLAYER MODEL'!AC:AC),0)</f>
        <v/>
      </c>
      <c r="M98" s="5">
        <f>L98-K98</f>
        <v/>
      </c>
      <c r="N98" s="5">
        <f>M98-F98</f>
        <v/>
      </c>
      <c r="O98" s="5">
        <f>IFERROR(XLOOKUP(C98,'PLAYER MODEL'!A:A,'PLAYER MODEL'!D:D)-XLOOKUP(B98,'PLAYER MODEL'!A:A,'PLAYER MODEL'!D:D),0)</f>
        <v/>
      </c>
      <c r="P98" s="8" t="n"/>
      <c r="Q98" s="5">
        <f>IF(J98&gt;0,"Positive 6GW EV",IF(N98&gt;0,"Positive 8GW EV","No clear EV"))</f>
        <v/>
      </c>
    </row>
    <row r="99">
      <c r="A99" s="8" t="n"/>
      <c r="B99" s="8" t="n"/>
      <c r="C99" s="8" t="n"/>
      <c r="D99" s="8" t="n"/>
      <c r="E99" s="8" t="n"/>
      <c r="F99" s="5">
        <f>MAX(0,E99-D99)*4</f>
        <v/>
      </c>
      <c r="G99" s="5">
        <f>IFERROR(XLOOKUP(B99,'PLAYER MODEL'!A:A,'PLAYER MODEL'!AD:AD),0)</f>
        <v/>
      </c>
      <c r="H99" s="5">
        <f>IFERROR(XLOOKUP(C99,'PLAYER MODEL'!A:A,'PLAYER MODEL'!AD:AD),0)</f>
        <v/>
      </c>
      <c r="I99" s="5">
        <f>H99-G99</f>
        <v/>
      </c>
      <c r="J99" s="5">
        <f>I99-F99</f>
        <v/>
      </c>
      <c r="K99" s="5">
        <f>IFERROR(XLOOKUP(B99,'PLAYER MODEL'!A:A,'PLAYER MODEL'!AC:AC),0)</f>
        <v/>
      </c>
      <c r="L99" s="5">
        <f>IFERROR(XLOOKUP(C99,'PLAYER MODEL'!A:A,'PLAYER MODEL'!AC:AC),0)</f>
        <v/>
      </c>
      <c r="M99" s="5">
        <f>L99-K99</f>
        <v/>
      </c>
      <c r="N99" s="5">
        <f>M99-F99</f>
        <v/>
      </c>
      <c r="O99" s="5">
        <f>IFERROR(XLOOKUP(C99,'PLAYER MODEL'!A:A,'PLAYER MODEL'!D:D)-XLOOKUP(B99,'PLAYER MODEL'!A:A,'PLAYER MODEL'!D:D),0)</f>
        <v/>
      </c>
      <c r="P99" s="8" t="n"/>
      <c r="Q99" s="5">
        <f>IF(J99&gt;0,"Positive 6GW EV",IF(N99&gt;0,"Positive 8GW EV","No clear EV"))</f>
        <v/>
      </c>
    </row>
    <row r="100">
      <c r="A100" s="8" t="n"/>
      <c r="B100" s="8" t="n"/>
      <c r="C100" s="8" t="n"/>
      <c r="D100" s="8" t="n"/>
      <c r="E100" s="8" t="n"/>
      <c r="F100" s="5">
        <f>MAX(0,E100-D100)*4</f>
        <v/>
      </c>
      <c r="G100" s="5">
        <f>IFERROR(XLOOKUP(B100,'PLAYER MODEL'!A:A,'PLAYER MODEL'!AD:AD),0)</f>
        <v/>
      </c>
      <c r="H100" s="5">
        <f>IFERROR(XLOOKUP(C100,'PLAYER MODEL'!A:A,'PLAYER MODEL'!AD:AD),0)</f>
        <v/>
      </c>
      <c r="I100" s="5">
        <f>H100-G100</f>
        <v/>
      </c>
      <c r="J100" s="5">
        <f>I100-F100</f>
        <v/>
      </c>
      <c r="K100" s="5">
        <f>IFERROR(XLOOKUP(B100,'PLAYER MODEL'!A:A,'PLAYER MODEL'!AC:AC),0)</f>
        <v/>
      </c>
      <c r="L100" s="5">
        <f>IFERROR(XLOOKUP(C100,'PLAYER MODEL'!A:A,'PLAYER MODEL'!AC:AC),0)</f>
        <v/>
      </c>
      <c r="M100" s="5">
        <f>L100-K100</f>
        <v/>
      </c>
      <c r="N100" s="5">
        <f>M100-F100</f>
        <v/>
      </c>
      <c r="O100" s="5">
        <f>IFERROR(XLOOKUP(C100,'PLAYER MODEL'!A:A,'PLAYER MODEL'!D:D)-XLOOKUP(B100,'PLAYER MODEL'!A:A,'PLAYER MODEL'!D:D),0)</f>
        <v/>
      </c>
      <c r="P100" s="8" t="n"/>
      <c r="Q100" s="5">
        <f>IF(J100&gt;0,"Positive 6GW EV",IF(N100&gt;0,"Positive 8GW EV","No clear EV"))</f>
        <v/>
      </c>
    </row>
    <row r="101">
      <c r="A101" s="8" t="n"/>
      <c r="B101" s="8" t="n"/>
      <c r="C101" s="8" t="n"/>
      <c r="D101" s="8" t="n"/>
      <c r="E101" s="8" t="n"/>
      <c r="F101" s="5">
        <f>MAX(0,E101-D101)*4</f>
        <v/>
      </c>
      <c r="G101" s="5">
        <f>IFERROR(XLOOKUP(B101,'PLAYER MODEL'!A:A,'PLAYER MODEL'!AD:AD),0)</f>
        <v/>
      </c>
      <c r="H101" s="5">
        <f>IFERROR(XLOOKUP(C101,'PLAYER MODEL'!A:A,'PLAYER MODEL'!AD:AD),0)</f>
        <v/>
      </c>
      <c r="I101" s="5">
        <f>H101-G101</f>
        <v/>
      </c>
      <c r="J101" s="5">
        <f>I101-F101</f>
        <v/>
      </c>
      <c r="K101" s="5">
        <f>IFERROR(XLOOKUP(B101,'PLAYER MODEL'!A:A,'PLAYER MODEL'!AC:AC),0)</f>
        <v/>
      </c>
      <c r="L101" s="5">
        <f>IFERROR(XLOOKUP(C101,'PLAYER MODEL'!A:A,'PLAYER MODEL'!AC:AC),0)</f>
        <v/>
      </c>
      <c r="M101" s="5">
        <f>L101-K101</f>
        <v/>
      </c>
      <c r="N101" s="5">
        <f>M101-F101</f>
        <v/>
      </c>
      <c r="O101" s="5">
        <f>IFERROR(XLOOKUP(C101,'PLAYER MODEL'!A:A,'PLAYER MODEL'!D:D)-XLOOKUP(B101,'PLAYER MODEL'!A:A,'PLAYER MODEL'!D:D),0)</f>
        <v/>
      </c>
      <c r="P101" s="8" t="n"/>
      <c r="Q101" s="5">
        <f>IF(J101&gt;0,"Positive 6GW EV",IF(N101&gt;0,"Positive 8GW EV","No clear EV"))</f>
        <v/>
      </c>
    </row>
    <row r="102">
      <c r="A102" s="8" t="n"/>
      <c r="B102" s="8" t="n"/>
      <c r="C102" s="8" t="n"/>
      <c r="D102" s="8" t="n"/>
      <c r="E102" s="8" t="n"/>
      <c r="F102" s="5">
        <f>MAX(0,E102-D102)*4</f>
        <v/>
      </c>
      <c r="G102" s="5">
        <f>IFERROR(XLOOKUP(B102,'PLAYER MODEL'!A:A,'PLAYER MODEL'!AD:AD),0)</f>
        <v/>
      </c>
      <c r="H102" s="5">
        <f>IFERROR(XLOOKUP(C102,'PLAYER MODEL'!A:A,'PLAYER MODEL'!AD:AD),0)</f>
        <v/>
      </c>
      <c r="I102" s="5">
        <f>H102-G102</f>
        <v/>
      </c>
      <c r="J102" s="5">
        <f>I102-F102</f>
        <v/>
      </c>
      <c r="K102" s="5">
        <f>IFERROR(XLOOKUP(B102,'PLAYER MODEL'!A:A,'PLAYER MODEL'!AC:AC),0)</f>
        <v/>
      </c>
      <c r="L102" s="5">
        <f>IFERROR(XLOOKUP(C102,'PLAYER MODEL'!A:A,'PLAYER MODEL'!AC:AC),0)</f>
        <v/>
      </c>
      <c r="M102" s="5">
        <f>L102-K102</f>
        <v/>
      </c>
      <c r="N102" s="5">
        <f>M102-F102</f>
        <v/>
      </c>
      <c r="O102" s="5">
        <f>IFERROR(XLOOKUP(C102,'PLAYER MODEL'!A:A,'PLAYER MODEL'!D:D)-XLOOKUP(B102,'PLAYER MODEL'!A:A,'PLAYER MODEL'!D:D),0)</f>
        <v/>
      </c>
      <c r="P102" s="8" t="n"/>
      <c r="Q102" s="5">
        <f>IF(J102&gt;0,"Positive 6GW EV",IF(N102&gt;0,"Positive 8GW EV","No clear EV"))</f>
        <v/>
      </c>
    </row>
    <row r="103">
      <c r="A103" s="8" t="n"/>
      <c r="B103" s="8" t="n"/>
      <c r="C103" s="8" t="n"/>
      <c r="D103" s="8" t="n"/>
      <c r="E103" s="8" t="n"/>
      <c r="F103" s="5">
        <f>MAX(0,E103-D103)*4</f>
        <v/>
      </c>
      <c r="G103" s="5">
        <f>IFERROR(XLOOKUP(B103,'PLAYER MODEL'!A:A,'PLAYER MODEL'!AD:AD),0)</f>
        <v/>
      </c>
      <c r="H103" s="5">
        <f>IFERROR(XLOOKUP(C103,'PLAYER MODEL'!A:A,'PLAYER MODEL'!AD:AD),0)</f>
        <v/>
      </c>
      <c r="I103" s="5">
        <f>H103-G103</f>
        <v/>
      </c>
      <c r="J103" s="5">
        <f>I103-F103</f>
        <v/>
      </c>
      <c r="K103" s="5">
        <f>IFERROR(XLOOKUP(B103,'PLAYER MODEL'!A:A,'PLAYER MODEL'!AC:AC),0)</f>
        <v/>
      </c>
      <c r="L103" s="5">
        <f>IFERROR(XLOOKUP(C103,'PLAYER MODEL'!A:A,'PLAYER MODEL'!AC:AC),0)</f>
        <v/>
      </c>
      <c r="M103" s="5">
        <f>L103-K103</f>
        <v/>
      </c>
      <c r="N103" s="5">
        <f>M103-F103</f>
        <v/>
      </c>
      <c r="O103" s="5">
        <f>IFERROR(XLOOKUP(C103,'PLAYER MODEL'!A:A,'PLAYER MODEL'!D:D)-XLOOKUP(B103,'PLAYER MODEL'!A:A,'PLAYER MODEL'!D:D),0)</f>
        <v/>
      </c>
      <c r="P103" s="8" t="n"/>
      <c r="Q103" s="5">
        <f>IF(J103&gt;0,"Positive 6GW EV",IF(N103&gt;0,"Positive 8GW EV","No clear EV"))</f>
        <v/>
      </c>
    </row>
    <row r="104">
      <c r="A104" s="8" t="n"/>
      <c r="B104" s="8" t="n"/>
      <c r="C104" s="8" t="n"/>
      <c r="D104" s="8" t="n"/>
      <c r="E104" s="8" t="n"/>
      <c r="F104" s="5">
        <f>MAX(0,E104-D104)*4</f>
        <v/>
      </c>
      <c r="G104" s="5">
        <f>IFERROR(XLOOKUP(B104,'PLAYER MODEL'!A:A,'PLAYER MODEL'!AD:AD),0)</f>
        <v/>
      </c>
      <c r="H104" s="5">
        <f>IFERROR(XLOOKUP(C104,'PLAYER MODEL'!A:A,'PLAYER MODEL'!AD:AD),0)</f>
        <v/>
      </c>
      <c r="I104" s="5">
        <f>H104-G104</f>
        <v/>
      </c>
      <c r="J104" s="5">
        <f>I104-F104</f>
        <v/>
      </c>
      <c r="K104" s="5">
        <f>IFERROR(XLOOKUP(B104,'PLAYER MODEL'!A:A,'PLAYER MODEL'!AC:AC),0)</f>
        <v/>
      </c>
      <c r="L104" s="5">
        <f>IFERROR(XLOOKUP(C104,'PLAYER MODEL'!A:A,'PLAYER MODEL'!AC:AC),0)</f>
        <v/>
      </c>
      <c r="M104" s="5">
        <f>L104-K104</f>
        <v/>
      </c>
      <c r="N104" s="5">
        <f>M104-F104</f>
        <v/>
      </c>
      <c r="O104" s="5">
        <f>IFERROR(XLOOKUP(C104,'PLAYER MODEL'!A:A,'PLAYER MODEL'!D:D)-XLOOKUP(B104,'PLAYER MODEL'!A:A,'PLAYER MODEL'!D:D),0)</f>
        <v/>
      </c>
      <c r="P104" s="8" t="n"/>
      <c r="Q104" s="5">
        <f>IF(J104&gt;0,"Positive 6GW EV",IF(N104&gt;0,"Positive 8GW EV","No clear EV"))</f>
        <v/>
      </c>
    </row>
    <row r="105">
      <c r="A105" s="8" t="n"/>
      <c r="B105" s="8" t="n"/>
      <c r="C105" s="8" t="n"/>
      <c r="D105" s="8" t="n"/>
      <c r="E105" s="8" t="n"/>
      <c r="F105" s="5">
        <f>MAX(0,E105-D105)*4</f>
        <v/>
      </c>
      <c r="G105" s="5">
        <f>IFERROR(XLOOKUP(B105,'PLAYER MODEL'!A:A,'PLAYER MODEL'!AD:AD),0)</f>
        <v/>
      </c>
      <c r="H105" s="5">
        <f>IFERROR(XLOOKUP(C105,'PLAYER MODEL'!A:A,'PLAYER MODEL'!AD:AD),0)</f>
        <v/>
      </c>
      <c r="I105" s="5">
        <f>H105-G105</f>
        <v/>
      </c>
      <c r="J105" s="5">
        <f>I105-F105</f>
        <v/>
      </c>
      <c r="K105" s="5">
        <f>IFERROR(XLOOKUP(B105,'PLAYER MODEL'!A:A,'PLAYER MODEL'!AC:AC),0)</f>
        <v/>
      </c>
      <c r="L105" s="5">
        <f>IFERROR(XLOOKUP(C105,'PLAYER MODEL'!A:A,'PLAYER MODEL'!AC:AC),0)</f>
        <v/>
      </c>
      <c r="M105" s="5">
        <f>L105-K105</f>
        <v/>
      </c>
      <c r="N105" s="5">
        <f>M105-F105</f>
        <v/>
      </c>
      <c r="O105" s="5">
        <f>IFERROR(XLOOKUP(C105,'PLAYER MODEL'!A:A,'PLAYER MODEL'!D:D)-XLOOKUP(B105,'PLAYER MODEL'!A:A,'PLAYER MODEL'!D:D),0)</f>
        <v/>
      </c>
      <c r="P105" s="8" t="n"/>
      <c r="Q105" s="5">
        <f>IF(J105&gt;0,"Positive 6GW EV",IF(N105&gt;0,"Positive 8GW EV","No clear EV"))</f>
        <v/>
      </c>
    </row>
  </sheetData>
  <mergeCells count="2">
    <mergeCell ref="A1:Q1"/>
    <mergeCell ref="B3:Q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15" customWidth="1" min="9" max="9"/>
    <col width="33" customWidth="1" min="10" max="10"/>
    <col width="38" customWidth="1" min="11" max="11"/>
  </cols>
  <sheetData>
    <row r="1">
      <c r="A1" s="27" t="inlineStr">
        <is>
          <t>Captaincy Probability Board</t>
        </is>
      </c>
    </row>
    <row r="2">
      <c r="A2" s="29" t="inlineStr">
        <is>
          <t>Formula-driven decision support — not an official FPL prediction.</t>
        </is>
      </c>
    </row>
    <row r="3">
      <c r="A3" s="2" t="inlineStr">
        <is>
          <t>Captain probability is a decision aid, not a claim of statistical certainty. It allocates a relative probability across the eligible player pool based on attacking ceiling, expected minutes and fixture.</t>
        </is>
      </c>
    </row>
    <row r="5">
      <c r="A5" s="19" t="inlineStr">
        <is>
          <t>Rank</t>
        </is>
      </c>
      <c r="B5" s="19" t="inlineStr">
        <is>
          <t>Player</t>
        </is>
      </c>
      <c r="C5" s="19" t="inlineStr">
        <is>
          <t>Club</t>
        </is>
      </c>
      <c r="D5" s="19" t="inlineStr">
        <is>
          <t>Pos</t>
        </is>
      </c>
      <c r="E5" s="19" t="inlineStr">
        <is>
          <t>GW1 xP</t>
        </is>
      </c>
      <c r="F5" s="19" t="inlineStr">
        <is>
          <t>Attacking ceiling</t>
        </is>
      </c>
      <c r="G5" s="19" t="inlineStr">
        <is>
          <t>Minutes confidence</t>
        </is>
      </c>
      <c r="H5" s="19" t="inlineStr">
        <is>
          <t>Fixture factor</t>
        </is>
      </c>
      <c r="I5" s="19" t="inlineStr">
        <is>
          <t>Captain Score</t>
        </is>
      </c>
      <c r="J5" s="19" t="inlineStr">
        <is>
          <t>Captain Probability</t>
        </is>
      </c>
      <c r="K5" s="19" t="inlineStr">
        <is>
          <t>Reason</t>
        </is>
      </c>
    </row>
    <row r="6">
      <c r="A6" s="5" t="n">
        <v>1</v>
      </c>
      <c r="B6" s="5">
        <f>IFERROR(INDEX('PLAYER MODEL'!A:A,MATCH(LARGE('PLAYER MODEL'!AG:AG,1),'PLAYER MODEL'!AG:AG,0)),"")</f>
        <v/>
      </c>
      <c r="C6" s="5">
        <f>IFERROR(XLOOKUP(B6,'PLAYER MODEL'!A:A,'PLAYER MODEL'!B:B),"")</f>
        <v/>
      </c>
      <c r="D6" s="5">
        <f>IFERROR(XLOOKUP(B6,'PLAYER MODEL'!A:A,'PLAYER MODEL'!C:C),"")</f>
        <v/>
      </c>
      <c r="E6" s="5">
        <f>IFERROR(XLOOKUP(B6,'PLAYER MODEL'!A:A,'PLAYER MODEL'!U:U),0)</f>
        <v/>
      </c>
      <c r="F6" s="5">
        <f>IFERROR(XLOOKUP(B6,'PLAYER MODEL'!A:A,'PLAYER MODEL'!AG:AG),0)</f>
        <v/>
      </c>
      <c r="G6" s="5">
        <f>IFERROR(XLOOKUP(B6,'PLAYER MODEL'!A:A,'PLAYER MODEL'!R:R),0)</f>
        <v/>
      </c>
      <c r="H6" s="5">
        <f>IFERROR(1+(3-XLOOKUP(B6,'WEEKLY INPUT'!A:A,'WEEKLY INPUT'!R:R))*0.10,1)</f>
        <v/>
      </c>
      <c r="I6" s="5">
        <f>F6*G6*H6</f>
        <v/>
      </c>
      <c r="J6" s="5">
        <f>IFERROR(I6/SUM($I$6:$I$20),0)</f>
        <v/>
      </c>
      <c r="K6" s="5">
        <f>IF(J6=MAX($J$6:$J$20),"Top captain candidate","Compare with fixture/team news")</f>
        <v/>
      </c>
    </row>
    <row r="7">
      <c r="A7" s="5" t="n">
        <v>2</v>
      </c>
      <c r="B7" s="5">
        <f>IFERROR(INDEX('PLAYER MODEL'!A:A,MATCH(LARGE('PLAYER MODEL'!AG:AG,2),'PLAYER MODEL'!AG:AG,0)),"")</f>
        <v/>
      </c>
      <c r="C7" s="5">
        <f>IFERROR(XLOOKUP(B7,'PLAYER MODEL'!A:A,'PLAYER MODEL'!B:B),"")</f>
        <v/>
      </c>
      <c r="D7" s="5">
        <f>IFERROR(XLOOKUP(B7,'PLAYER MODEL'!A:A,'PLAYER MODEL'!C:C),"")</f>
        <v/>
      </c>
      <c r="E7" s="5">
        <f>IFERROR(XLOOKUP(B7,'PLAYER MODEL'!A:A,'PLAYER MODEL'!U:U),0)</f>
        <v/>
      </c>
      <c r="F7" s="5">
        <f>IFERROR(XLOOKUP(B7,'PLAYER MODEL'!A:A,'PLAYER MODEL'!AG:AG),0)</f>
        <v/>
      </c>
      <c r="G7" s="5">
        <f>IFERROR(XLOOKUP(B7,'PLAYER MODEL'!A:A,'PLAYER MODEL'!R:R),0)</f>
        <v/>
      </c>
      <c r="H7" s="5">
        <f>IFERROR(1+(3-XLOOKUP(B7,'WEEKLY INPUT'!A:A,'WEEKLY INPUT'!R:R))*0.10,1)</f>
        <v/>
      </c>
      <c r="I7" s="5">
        <f>F7*G7*H7</f>
        <v/>
      </c>
      <c r="J7" s="5">
        <f>IFERROR(I7/SUM($I$6:$I$20),0)</f>
        <v/>
      </c>
      <c r="K7" s="5">
        <f>IF(J7=MAX($J$6:$J$20),"Top captain candidate","Compare with fixture/team news")</f>
        <v/>
      </c>
    </row>
    <row r="8">
      <c r="A8" s="5" t="n">
        <v>3</v>
      </c>
      <c r="B8" s="5">
        <f>IFERROR(INDEX('PLAYER MODEL'!A:A,MATCH(LARGE('PLAYER MODEL'!AG:AG,3),'PLAYER MODEL'!AG:AG,0)),"")</f>
        <v/>
      </c>
      <c r="C8" s="5">
        <f>IFERROR(XLOOKUP(B8,'PLAYER MODEL'!A:A,'PLAYER MODEL'!B:B),"")</f>
        <v/>
      </c>
      <c r="D8" s="5">
        <f>IFERROR(XLOOKUP(B8,'PLAYER MODEL'!A:A,'PLAYER MODEL'!C:C),"")</f>
        <v/>
      </c>
      <c r="E8" s="5">
        <f>IFERROR(XLOOKUP(B8,'PLAYER MODEL'!A:A,'PLAYER MODEL'!U:U),0)</f>
        <v/>
      </c>
      <c r="F8" s="5">
        <f>IFERROR(XLOOKUP(B8,'PLAYER MODEL'!A:A,'PLAYER MODEL'!AG:AG),0)</f>
        <v/>
      </c>
      <c r="G8" s="5">
        <f>IFERROR(XLOOKUP(B8,'PLAYER MODEL'!A:A,'PLAYER MODEL'!R:R),0)</f>
        <v/>
      </c>
      <c r="H8" s="5">
        <f>IFERROR(1+(3-XLOOKUP(B8,'WEEKLY INPUT'!A:A,'WEEKLY INPUT'!R:R))*0.10,1)</f>
        <v/>
      </c>
      <c r="I8" s="5">
        <f>F8*G8*H8</f>
        <v/>
      </c>
      <c r="J8" s="5">
        <f>IFERROR(I8/SUM($I$6:$I$20),0)</f>
        <v/>
      </c>
      <c r="K8" s="5">
        <f>IF(J8=MAX($J$6:$J$20),"Top captain candidate","Compare with fixture/team news")</f>
        <v/>
      </c>
    </row>
    <row r="9">
      <c r="A9" s="5" t="n">
        <v>4</v>
      </c>
      <c r="B9" s="5">
        <f>IFERROR(INDEX('PLAYER MODEL'!A:A,MATCH(LARGE('PLAYER MODEL'!AG:AG,4),'PLAYER MODEL'!AG:AG,0)),"")</f>
        <v/>
      </c>
      <c r="C9" s="5">
        <f>IFERROR(XLOOKUP(B9,'PLAYER MODEL'!A:A,'PLAYER MODEL'!B:B),"")</f>
        <v/>
      </c>
      <c r="D9" s="5">
        <f>IFERROR(XLOOKUP(B9,'PLAYER MODEL'!A:A,'PLAYER MODEL'!C:C),"")</f>
        <v/>
      </c>
      <c r="E9" s="5">
        <f>IFERROR(XLOOKUP(B9,'PLAYER MODEL'!A:A,'PLAYER MODEL'!U:U),0)</f>
        <v/>
      </c>
      <c r="F9" s="5">
        <f>IFERROR(XLOOKUP(B9,'PLAYER MODEL'!A:A,'PLAYER MODEL'!AG:AG),0)</f>
        <v/>
      </c>
      <c r="G9" s="5">
        <f>IFERROR(XLOOKUP(B9,'PLAYER MODEL'!A:A,'PLAYER MODEL'!R:R),0)</f>
        <v/>
      </c>
      <c r="H9" s="5">
        <f>IFERROR(1+(3-XLOOKUP(B9,'WEEKLY INPUT'!A:A,'WEEKLY INPUT'!R:R))*0.10,1)</f>
        <v/>
      </c>
      <c r="I9" s="5">
        <f>F9*G9*H9</f>
        <v/>
      </c>
      <c r="J9" s="5">
        <f>IFERROR(I9/SUM($I$6:$I$20),0)</f>
        <v/>
      </c>
      <c r="K9" s="5">
        <f>IF(J9=MAX($J$6:$J$20),"Top captain candidate","Compare with fixture/team news")</f>
        <v/>
      </c>
    </row>
    <row r="10">
      <c r="A10" s="5" t="n">
        <v>5</v>
      </c>
      <c r="B10" s="5">
        <f>IFERROR(INDEX('PLAYER MODEL'!A:A,MATCH(LARGE('PLAYER MODEL'!AG:AG,5),'PLAYER MODEL'!AG:AG,0)),"")</f>
        <v/>
      </c>
      <c r="C10" s="5">
        <f>IFERROR(XLOOKUP(B10,'PLAYER MODEL'!A:A,'PLAYER MODEL'!B:B),"")</f>
        <v/>
      </c>
      <c r="D10" s="5">
        <f>IFERROR(XLOOKUP(B10,'PLAYER MODEL'!A:A,'PLAYER MODEL'!C:C),"")</f>
        <v/>
      </c>
      <c r="E10" s="5">
        <f>IFERROR(XLOOKUP(B10,'PLAYER MODEL'!A:A,'PLAYER MODEL'!U:U),0)</f>
        <v/>
      </c>
      <c r="F10" s="5">
        <f>IFERROR(XLOOKUP(B10,'PLAYER MODEL'!A:A,'PLAYER MODEL'!AG:AG),0)</f>
        <v/>
      </c>
      <c r="G10" s="5">
        <f>IFERROR(XLOOKUP(B10,'PLAYER MODEL'!A:A,'PLAYER MODEL'!R:R),0)</f>
        <v/>
      </c>
      <c r="H10" s="5">
        <f>IFERROR(1+(3-XLOOKUP(B10,'WEEKLY INPUT'!A:A,'WEEKLY INPUT'!R:R))*0.10,1)</f>
        <v/>
      </c>
      <c r="I10" s="5">
        <f>F10*G10*H10</f>
        <v/>
      </c>
      <c r="J10" s="5">
        <f>IFERROR(I10/SUM($I$6:$I$20),0)</f>
        <v/>
      </c>
      <c r="K10" s="5">
        <f>IF(J10=MAX($J$6:$J$20),"Top captain candidate","Compare with fixture/team news")</f>
        <v/>
      </c>
    </row>
    <row r="11">
      <c r="A11" s="5" t="n">
        <v>6</v>
      </c>
      <c r="B11" s="5">
        <f>IFERROR(INDEX('PLAYER MODEL'!A:A,MATCH(LARGE('PLAYER MODEL'!AG:AG,6),'PLAYER MODEL'!AG:AG,0)),"")</f>
        <v/>
      </c>
      <c r="C11" s="5">
        <f>IFERROR(XLOOKUP(B11,'PLAYER MODEL'!A:A,'PLAYER MODEL'!B:B),"")</f>
        <v/>
      </c>
      <c r="D11" s="5">
        <f>IFERROR(XLOOKUP(B11,'PLAYER MODEL'!A:A,'PLAYER MODEL'!C:C),"")</f>
        <v/>
      </c>
      <c r="E11" s="5">
        <f>IFERROR(XLOOKUP(B11,'PLAYER MODEL'!A:A,'PLAYER MODEL'!U:U),0)</f>
        <v/>
      </c>
      <c r="F11" s="5">
        <f>IFERROR(XLOOKUP(B11,'PLAYER MODEL'!A:A,'PLAYER MODEL'!AG:AG),0)</f>
        <v/>
      </c>
      <c r="G11" s="5">
        <f>IFERROR(XLOOKUP(B11,'PLAYER MODEL'!A:A,'PLAYER MODEL'!R:R),0)</f>
        <v/>
      </c>
      <c r="H11" s="5">
        <f>IFERROR(1+(3-XLOOKUP(B11,'WEEKLY INPUT'!A:A,'WEEKLY INPUT'!R:R))*0.10,1)</f>
        <v/>
      </c>
      <c r="I11" s="5">
        <f>F11*G11*H11</f>
        <v/>
      </c>
      <c r="J11" s="5">
        <f>IFERROR(I11/SUM($I$6:$I$20),0)</f>
        <v/>
      </c>
      <c r="K11" s="5">
        <f>IF(J11=MAX($J$6:$J$20),"Top captain candidate","Compare with fixture/team news")</f>
        <v/>
      </c>
    </row>
    <row r="12">
      <c r="A12" s="5" t="n">
        <v>7</v>
      </c>
      <c r="B12" s="5">
        <f>IFERROR(INDEX('PLAYER MODEL'!A:A,MATCH(LARGE('PLAYER MODEL'!AG:AG,7),'PLAYER MODEL'!AG:AG,0)),"")</f>
        <v/>
      </c>
      <c r="C12" s="5">
        <f>IFERROR(XLOOKUP(B12,'PLAYER MODEL'!A:A,'PLAYER MODEL'!B:B),"")</f>
        <v/>
      </c>
      <c r="D12" s="5">
        <f>IFERROR(XLOOKUP(B12,'PLAYER MODEL'!A:A,'PLAYER MODEL'!C:C),"")</f>
        <v/>
      </c>
      <c r="E12" s="5">
        <f>IFERROR(XLOOKUP(B12,'PLAYER MODEL'!A:A,'PLAYER MODEL'!U:U),0)</f>
        <v/>
      </c>
      <c r="F12" s="5">
        <f>IFERROR(XLOOKUP(B12,'PLAYER MODEL'!A:A,'PLAYER MODEL'!AG:AG),0)</f>
        <v/>
      </c>
      <c r="G12" s="5">
        <f>IFERROR(XLOOKUP(B12,'PLAYER MODEL'!A:A,'PLAYER MODEL'!R:R),0)</f>
        <v/>
      </c>
      <c r="H12" s="5">
        <f>IFERROR(1+(3-XLOOKUP(B12,'WEEKLY INPUT'!A:A,'WEEKLY INPUT'!R:R))*0.10,1)</f>
        <v/>
      </c>
      <c r="I12" s="5">
        <f>F12*G12*H12</f>
        <v/>
      </c>
      <c r="J12" s="5">
        <f>IFERROR(I12/SUM($I$6:$I$20),0)</f>
        <v/>
      </c>
      <c r="K12" s="5">
        <f>IF(J12=MAX($J$6:$J$20),"Top captain candidate","Compare with fixture/team news")</f>
        <v/>
      </c>
    </row>
    <row r="13">
      <c r="A13" s="5" t="n">
        <v>8</v>
      </c>
      <c r="B13" s="5">
        <f>IFERROR(INDEX('PLAYER MODEL'!A:A,MATCH(LARGE('PLAYER MODEL'!AG:AG,8),'PLAYER MODEL'!AG:AG,0)),"")</f>
        <v/>
      </c>
      <c r="C13" s="5">
        <f>IFERROR(XLOOKUP(B13,'PLAYER MODEL'!A:A,'PLAYER MODEL'!B:B),"")</f>
        <v/>
      </c>
      <c r="D13" s="5">
        <f>IFERROR(XLOOKUP(B13,'PLAYER MODEL'!A:A,'PLAYER MODEL'!C:C),"")</f>
        <v/>
      </c>
      <c r="E13" s="5">
        <f>IFERROR(XLOOKUP(B13,'PLAYER MODEL'!A:A,'PLAYER MODEL'!U:U),0)</f>
        <v/>
      </c>
      <c r="F13" s="5">
        <f>IFERROR(XLOOKUP(B13,'PLAYER MODEL'!A:A,'PLAYER MODEL'!AG:AG),0)</f>
        <v/>
      </c>
      <c r="G13" s="5">
        <f>IFERROR(XLOOKUP(B13,'PLAYER MODEL'!A:A,'PLAYER MODEL'!R:R),0)</f>
        <v/>
      </c>
      <c r="H13" s="5">
        <f>IFERROR(1+(3-XLOOKUP(B13,'WEEKLY INPUT'!A:A,'WEEKLY INPUT'!R:R))*0.10,1)</f>
        <v/>
      </c>
      <c r="I13" s="5">
        <f>F13*G13*H13</f>
        <v/>
      </c>
      <c r="J13" s="5">
        <f>IFERROR(I13/SUM($I$6:$I$20),0)</f>
        <v/>
      </c>
      <c r="K13" s="5">
        <f>IF(J13=MAX($J$6:$J$20),"Top captain candidate","Compare with fixture/team news")</f>
        <v/>
      </c>
    </row>
    <row r="14">
      <c r="A14" s="5" t="n">
        <v>9</v>
      </c>
      <c r="B14" s="5">
        <f>IFERROR(INDEX('PLAYER MODEL'!A:A,MATCH(LARGE('PLAYER MODEL'!AG:AG,9),'PLAYER MODEL'!AG:AG,0)),"")</f>
        <v/>
      </c>
      <c r="C14" s="5">
        <f>IFERROR(XLOOKUP(B14,'PLAYER MODEL'!A:A,'PLAYER MODEL'!B:B),"")</f>
        <v/>
      </c>
      <c r="D14" s="5">
        <f>IFERROR(XLOOKUP(B14,'PLAYER MODEL'!A:A,'PLAYER MODEL'!C:C),"")</f>
        <v/>
      </c>
      <c r="E14" s="5">
        <f>IFERROR(XLOOKUP(B14,'PLAYER MODEL'!A:A,'PLAYER MODEL'!U:U),0)</f>
        <v/>
      </c>
      <c r="F14" s="5">
        <f>IFERROR(XLOOKUP(B14,'PLAYER MODEL'!A:A,'PLAYER MODEL'!AG:AG),0)</f>
        <v/>
      </c>
      <c r="G14" s="5">
        <f>IFERROR(XLOOKUP(B14,'PLAYER MODEL'!A:A,'PLAYER MODEL'!R:R),0)</f>
        <v/>
      </c>
      <c r="H14" s="5">
        <f>IFERROR(1+(3-XLOOKUP(B14,'WEEKLY INPUT'!A:A,'WEEKLY INPUT'!R:R))*0.10,1)</f>
        <v/>
      </c>
      <c r="I14" s="5">
        <f>F14*G14*H14</f>
        <v/>
      </c>
      <c r="J14" s="5">
        <f>IFERROR(I14/SUM($I$6:$I$20),0)</f>
        <v/>
      </c>
      <c r="K14" s="5">
        <f>IF(J14=MAX($J$6:$J$20),"Top captain candidate","Compare with fixture/team news")</f>
        <v/>
      </c>
    </row>
    <row r="15">
      <c r="A15" s="5" t="n">
        <v>10</v>
      </c>
      <c r="B15" s="5">
        <f>IFERROR(INDEX('PLAYER MODEL'!A:A,MATCH(LARGE('PLAYER MODEL'!AG:AG,10),'PLAYER MODEL'!AG:AG,0)),"")</f>
        <v/>
      </c>
      <c r="C15" s="5">
        <f>IFERROR(XLOOKUP(B15,'PLAYER MODEL'!A:A,'PLAYER MODEL'!B:B),"")</f>
        <v/>
      </c>
      <c r="D15" s="5">
        <f>IFERROR(XLOOKUP(B15,'PLAYER MODEL'!A:A,'PLAYER MODEL'!C:C),"")</f>
        <v/>
      </c>
      <c r="E15" s="5">
        <f>IFERROR(XLOOKUP(B15,'PLAYER MODEL'!A:A,'PLAYER MODEL'!U:U),0)</f>
        <v/>
      </c>
      <c r="F15" s="5">
        <f>IFERROR(XLOOKUP(B15,'PLAYER MODEL'!A:A,'PLAYER MODEL'!AG:AG),0)</f>
        <v/>
      </c>
      <c r="G15" s="5">
        <f>IFERROR(XLOOKUP(B15,'PLAYER MODEL'!A:A,'PLAYER MODEL'!R:R),0)</f>
        <v/>
      </c>
      <c r="H15" s="5">
        <f>IFERROR(1+(3-XLOOKUP(B15,'WEEKLY INPUT'!A:A,'WEEKLY INPUT'!R:R))*0.10,1)</f>
        <v/>
      </c>
      <c r="I15" s="5">
        <f>F15*G15*H15</f>
        <v/>
      </c>
      <c r="J15" s="5">
        <f>IFERROR(I15/SUM($I$6:$I$20),0)</f>
        <v/>
      </c>
      <c r="K15" s="5">
        <f>IF(J15=MAX($J$6:$J$20),"Top captain candidate","Compare with fixture/team news")</f>
        <v/>
      </c>
    </row>
    <row r="16">
      <c r="A16" s="5" t="n">
        <v>11</v>
      </c>
      <c r="B16" s="5">
        <f>IFERROR(INDEX('PLAYER MODEL'!A:A,MATCH(LARGE('PLAYER MODEL'!AG:AG,11),'PLAYER MODEL'!AG:AG,0)),"")</f>
        <v/>
      </c>
      <c r="C16" s="5">
        <f>IFERROR(XLOOKUP(B16,'PLAYER MODEL'!A:A,'PLAYER MODEL'!B:B),"")</f>
        <v/>
      </c>
      <c r="D16" s="5">
        <f>IFERROR(XLOOKUP(B16,'PLAYER MODEL'!A:A,'PLAYER MODEL'!C:C),"")</f>
        <v/>
      </c>
      <c r="E16" s="5">
        <f>IFERROR(XLOOKUP(B16,'PLAYER MODEL'!A:A,'PLAYER MODEL'!U:U),0)</f>
        <v/>
      </c>
      <c r="F16" s="5">
        <f>IFERROR(XLOOKUP(B16,'PLAYER MODEL'!A:A,'PLAYER MODEL'!AG:AG),0)</f>
        <v/>
      </c>
      <c r="G16" s="5">
        <f>IFERROR(XLOOKUP(B16,'PLAYER MODEL'!A:A,'PLAYER MODEL'!R:R),0)</f>
        <v/>
      </c>
      <c r="H16" s="5">
        <f>IFERROR(1+(3-XLOOKUP(B16,'WEEKLY INPUT'!A:A,'WEEKLY INPUT'!R:R))*0.10,1)</f>
        <v/>
      </c>
      <c r="I16" s="5">
        <f>F16*G16*H16</f>
        <v/>
      </c>
      <c r="J16" s="5">
        <f>IFERROR(I16/SUM($I$6:$I$20),0)</f>
        <v/>
      </c>
      <c r="K16" s="5">
        <f>IF(J16=MAX($J$6:$J$20),"Top captain candidate","Compare with fixture/team news")</f>
        <v/>
      </c>
    </row>
    <row r="17">
      <c r="A17" s="5" t="n">
        <v>12</v>
      </c>
      <c r="B17" s="5">
        <f>IFERROR(INDEX('PLAYER MODEL'!A:A,MATCH(LARGE('PLAYER MODEL'!AG:AG,12),'PLAYER MODEL'!AG:AG,0)),"")</f>
        <v/>
      </c>
      <c r="C17" s="5">
        <f>IFERROR(XLOOKUP(B17,'PLAYER MODEL'!A:A,'PLAYER MODEL'!B:B),"")</f>
        <v/>
      </c>
      <c r="D17" s="5">
        <f>IFERROR(XLOOKUP(B17,'PLAYER MODEL'!A:A,'PLAYER MODEL'!C:C),"")</f>
        <v/>
      </c>
      <c r="E17" s="5">
        <f>IFERROR(XLOOKUP(B17,'PLAYER MODEL'!A:A,'PLAYER MODEL'!U:U),0)</f>
        <v/>
      </c>
      <c r="F17" s="5">
        <f>IFERROR(XLOOKUP(B17,'PLAYER MODEL'!A:A,'PLAYER MODEL'!AG:AG),0)</f>
        <v/>
      </c>
      <c r="G17" s="5">
        <f>IFERROR(XLOOKUP(B17,'PLAYER MODEL'!A:A,'PLAYER MODEL'!R:R),0)</f>
        <v/>
      </c>
      <c r="H17" s="5">
        <f>IFERROR(1+(3-XLOOKUP(B17,'WEEKLY INPUT'!A:A,'WEEKLY INPUT'!R:R))*0.10,1)</f>
        <v/>
      </c>
      <c r="I17" s="5">
        <f>F17*G17*H17</f>
        <v/>
      </c>
      <c r="J17" s="5">
        <f>IFERROR(I17/SUM($I$6:$I$20),0)</f>
        <v/>
      </c>
      <c r="K17" s="5">
        <f>IF(J17=MAX($J$6:$J$20),"Top captain candidate","Compare with fixture/team news")</f>
        <v/>
      </c>
    </row>
    <row r="18">
      <c r="A18" s="5" t="n">
        <v>13</v>
      </c>
      <c r="B18" s="5">
        <f>IFERROR(INDEX('PLAYER MODEL'!A:A,MATCH(LARGE('PLAYER MODEL'!AG:AG,13),'PLAYER MODEL'!AG:AG,0)),"")</f>
        <v/>
      </c>
      <c r="C18" s="5">
        <f>IFERROR(XLOOKUP(B18,'PLAYER MODEL'!A:A,'PLAYER MODEL'!B:B),"")</f>
        <v/>
      </c>
      <c r="D18" s="5">
        <f>IFERROR(XLOOKUP(B18,'PLAYER MODEL'!A:A,'PLAYER MODEL'!C:C),"")</f>
        <v/>
      </c>
      <c r="E18" s="5">
        <f>IFERROR(XLOOKUP(B18,'PLAYER MODEL'!A:A,'PLAYER MODEL'!U:U),0)</f>
        <v/>
      </c>
      <c r="F18" s="5">
        <f>IFERROR(XLOOKUP(B18,'PLAYER MODEL'!A:A,'PLAYER MODEL'!AG:AG),0)</f>
        <v/>
      </c>
      <c r="G18" s="5">
        <f>IFERROR(XLOOKUP(B18,'PLAYER MODEL'!A:A,'PLAYER MODEL'!R:R),0)</f>
        <v/>
      </c>
      <c r="H18" s="5">
        <f>IFERROR(1+(3-XLOOKUP(B18,'WEEKLY INPUT'!A:A,'WEEKLY INPUT'!R:R))*0.10,1)</f>
        <v/>
      </c>
      <c r="I18" s="5">
        <f>F18*G18*H18</f>
        <v/>
      </c>
      <c r="J18" s="5">
        <f>IFERROR(I18/SUM($I$6:$I$20),0)</f>
        <v/>
      </c>
      <c r="K18" s="5">
        <f>IF(J18=MAX($J$6:$J$20),"Top captain candidate","Compare with fixture/team news")</f>
        <v/>
      </c>
    </row>
    <row r="19">
      <c r="A19" s="5" t="n">
        <v>14</v>
      </c>
      <c r="B19" s="5">
        <f>IFERROR(INDEX('PLAYER MODEL'!A:A,MATCH(LARGE('PLAYER MODEL'!AG:AG,14),'PLAYER MODEL'!AG:AG,0)),"")</f>
        <v/>
      </c>
      <c r="C19" s="5">
        <f>IFERROR(XLOOKUP(B19,'PLAYER MODEL'!A:A,'PLAYER MODEL'!B:B),"")</f>
        <v/>
      </c>
      <c r="D19" s="5">
        <f>IFERROR(XLOOKUP(B19,'PLAYER MODEL'!A:A,'PLAYER MODEL'!C:C),"")</f>
        <v/>
      </c>
      <c r="E19" s="5">
        <f>IFERROR(XLOOKUP(B19,'PLAYER MODEL'!A:A,'PLAYER MODEL'!U:U),0)</f>
        <v/>
      </c>
      <c r="F19" s="5">
        <f>IFERROR(XLOOKUP(B19,'PLAYER MODEL'!A:A,'PLAYER MODEL'!AG:AG),0)</f>
        <v/>
      </c>
      <c r="G19" s="5">
        <f>IFERROR(XLOOKUP(B19,'PLAYER MODEL'!A:A,'PLAYER MODEL'!R:R),0)</f>
        <v/>
      </c>
      <c r="H19" s="5">
        <f>IFERROR(1+(3-XLOOKUP(B19,'WEEKLY INPUT'!A:A,'WEEKLY INPUT'!R:R))*0.10,1)</f>
        <v/>
      </c>
      <c r="I19" s="5">
        <f>F19*G19*H19</f>
        <v/>
      </c>
      <c r="J19" s="5">
        <f>IFERROR(I19/SUM($I$6:$I$20),0)</f>
        <v/>
      </c>
      <c r="K19" s="5">
        <f>IF(J19=MAX($J$6:$J$20),"Top captain candidate","Compare with fixture/team news")</f>
        <v/>
      </c>
    </row>
    <row r="20">
      <c r="A20" s="5" t="n">
        <v>15</v>
      </c>
      <c r="B20" s="5">
        <f>IFERROR(INDEX('PLAYER MODEL'!A:A,MATCH(LARGE('PLAYER MODEL'!AG:AG,15),'PLAYER MODEL'!AG:AG,0)),"")</f>
        <v/>
      </c>
      <c r="C20" s="5">
        <f>IFERROR(XLOOKUP(B20,'PLAYER MODEL'!A:A,'PLAYER MODEL'!B:B),"")</f>
        <v/>
      </c>
      <c r="D20" s="5">
        <f>IFERROR(XLOOKUP(B20,'PLAYER MODEL'!A:A,'PLAYER MODEL'!C:C),"")</f>
        <v/>
      </c>
      <c r="E20" s="5">
        <f>IFERROR(XLOOKUP(B20,'PLAYER MODEL'!A:A,'PLAYER MODEL'!U:U),0)</f>
        <v/>
      </c>
      <c r="F20" s="5">
        <f>IFERROR(XLOOKUP(B20,'PLAYER MODEL'!A:A,'PLAYER MODEL'!AG:AG),0)</f>
        <v/>
      </c>
      <c r="G20" s="5">
        <f>IFERROR(XLOOKUP(B20,'PLAYER MODEL'!A:A,'PLAYER MODEL'!R:R),0)</f>
        <v/>
      </c>
      <c r="H20" s="5">
        <f>IFERROR(1+(3-XLOOKUP(B20,'WEEKLY INPUT'!A:A,'WEEKLY INPUT'!R:R))*0.10,1)</f>
        <v/>
      </c>
      <c r="I20" s="5">
        <f>F20*G20*H20</f>
        <v/>
      </c>
      <c r="J20" s="5">
        <f>IFERROR(I20/SUM($I$6:$I$20),0)</f>
        <v/>
      </c>
      <c r="K20" s="5">
        <f>IF(J20=MAX($J$6:$J$20),"Top captain candidate","Compare with fixture/team news")</f>
        <v/>
      </c>
    </row>
  </sheetData>
  <mergeCells count="2">
    <mergeCell ref="A1:K1"/>
    <mergeCell ref="A3:K3"/>
  </mergeCells>
  <conditionalFormatting sqref="J6:J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7" customWidth="1" min="3" max="3"/>
    <col width="21" customWidth="1" min="4" max="4"/>
    <col width="16" customWidth="1" min="5" max="5"/>
    <col width="16" customWidth="1" min="6" max="6"/>
    <col width="14" customWidth="1" min="7" max="7"/>
    <col width="15" customWidth="1" min="8" max="8"/>
    <col width="15" customWidth="1" min="9" max="9"/>
    <col width="21" customWidth="1" min="10" max="10"/>
    <col width="18" customWidth="1" min="11" max="11"/>
    <col width="26" customWidth="1" min="12" max="12"/>
    <col width="10" customWidth="1" min="13" max="13"/>
  </cols>
  <sheetData>
    <row r="1">
      <c r="A1" s="27" t="inlineStr">
        <is>
          <t>Chip Timing Planner</t>
        </is>
      </c>
    </row>
    <row r="2">
      <c r="A2" s="29" t="inlineStr">
        <is>
          <t>Formula-driven decision support — not an official FPL prediction.</t>
        </is>
      </c>
    </row>
    <row r="3">
      <c r="A3" s="2" t="inlineStr">
        <is>
          <t>Score each Gameweek manually after reviewing blanks/doubles, squad coverage and the 8GW projection. The sheet provides a framework rather than pretending the optimal chip week can be known months ahead.</t>
        </is>
      </c>
    </row>
    <row r="5">
      <c r="A5" s="19" t="inlineStr">
        <is>
          <t>GW</t>
        </is>
      </c>
      <c r="B5" s="19" t="inlineStr">
        <is>
          <t>Blank GW score</t>
        </is>
      </c>
      <c r="C5" s="19" t="inlineStr">
        <is>
          <t>Double GW score</t>
        </is>
      </c>
      <c r="D5" s="19" t="inlineStr">
        <is>
          <t>Fixture swing score</t>
        </is>
      </c>
      <c r="E5" s="19" t="inlineStr">
        <is>
          <t>Squad coverage</t>
        </is>
      </c>
      <c r="F5" s="19" t="inlineStr">
        <is>
          <t>Captain upside</t>
        </is>
      </c>
      <c r="G5" s="19" t="inlineStr">
        <is>
          <t>Bench upside</t>
        </is>
      </c>
      <c r="H5" s="19" t="inlineStr">
        <is>
          <t>Wildcard need</t>
        </is>
      </c>
      <c r="I5" s="19" t="inlineStr">
        <is>
          <t>Free Hit need</t>
        </is>
      </c>
      <c r="J5" s="19" t="inlineStr">
        <is>
          <t>Triple Captain need</t>
        </is>
      </c>
      <c r="K5" s="19" t="inlineStr">
        <is>
          <t>Bench Boost need</t>
        </is>
      </c>
      <c r="L5" s="19" t="inlineStr">
        <is>
          <t>Overall chip opportunity</t>
        </is>
      </c>
      <c r="M5" s="19" t="inlineStr">
        <is>
          <t>Notes</t>
        </is>
      </c>
    </row>
    <row r="6">
      <c r="A6" s="5" t="n">
        <v>1</v>
      </c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5">
        <f>SUM(B6:K6)</f>
        <v/>
      </c>
      <c r="M6" s="8" t="n"/>
    </row>
    <row r="7">
      <c r="A7" s="5" t="n">
        <v>2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5">
        <f>SUM(B7:K7)</f>
        <v/>
      </c>
      <c r="M7" s="8" t="n"/>
    </row>
    <row r="8">
      <c r="A8" s="5" t="n">
        <v>3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5">
        <f>SUM(B8:K8)</f>
        <v/>
      </c>
      <c r="M8" s="8" t="n"/>
    </row>
    <row r="9">
      <c r="A9" s="5" t="n">
        <v>4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5">
        <f>SUM(B9:K9)</f>
        <v/>
      </c>
      <c r="M9" s="8" t="n"/>
    </row>
    <row r="10">
      <c r="A10" s="5" t="n">
        <v>5</v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5">
        <f>SUM(B10:K10)</f>
        <v/>
      </c>
      <c r="M10" s="8" t="n"/>
    </row>
    <row r="11">
      <c r="A11" s="5" t="n">
        <v>6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5">
        <f>SUM(B11:K11)</f>
        <v/>
      </c>
      <c r="M11" s="8" t="n"/>
    </row>
    <row r="12">
      <c r="A12" s="5" t="n">
        <v>7</v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5">
        <f>SUM(B12:K12)</f>
        <v/>
      </c>
      <c r="M12" s="8" t="n"/>
    </row>
    <row r="13">
      <c r="A13" s="5" t="n">
        <v>8</v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5">
        <f>SUM(B13:K13)</f>
        <v/>
      </c>
      <c r="M13" s="8" t="n"/>
    </row>
    <row r="14">
      <c r="A14" s="5" t="n">
        <v>9</v>
      </c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5">
        <f>SUM(B14:K14)</f>
        <v/>
      </c>
      <c r="M14" s="8" t="n"/>
    </row>
    <row r="15">
      <c r="A15" s="5" t="n">
        <v>10</v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5">
        <f>SUM(B15:K15)</f>
        <v/>
      </c>
      <c r="M15" s="8" t="n"/>
    </row>
    <row r="16">
      <c r="A16" s="5" t="n">
        <v>11</v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5">
        <f>SUM(B16:K16)</f>
        <v/>
      </c>
      <c r="M16" s="8" t="n"/>
    </row>
    <row r="17">
      <c r="A17" s="5" t="n">
        <v>12</v>
      </c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5">
        <f>SUM(B17:K17)</f>
        <v/>
      </c>
      <c r="M17" s="8" t="n"/>
    </row>
    <row r="18">
      <c r="A18" s="5" t="n">
        <v>13</v>
      </c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5">
        <f>SUM(B18:K18)</f>
        <v/>
      </c>
      <c r="M18" s="8" t="n"/>
    </row>
    <row r="19">
      <c r="A19" s="5" t="n">
        <v>14</v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5">
        <f>SUM(B19:K19)</f>
        <v/>
      </c>
      <c r="M19" s="8" t="n"/>
    </row>
    <row r="20">
      <c r="A20" s="5" t="n">
        <v>15</v>
      </c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5">
        <f>SUM(B20:K20)</f>
        <v/>
      </c>
      <c r="M20" s="8" t="n"/>
    </row>
    <row r="21">
      <c r="A21" s="5" t="n">
        <v>16</v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5">
        <f>SUM(B21:K21)</f>
        <v/>
      </c>
      <c r="M21" s="8" t="n"/>
    </row>
    <row r="22">
      <c r="A22" s="5" t="n">
        <v>17</v>
      </c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5">
        <f>SUM(B22:K22)</f>
        <v/>
      </c>
      <c r="M22" s="8" t="n"/>
    </row>
    <row r="23">
      <c r="A23" s="5" t="n">
        <v>18</v>
      </c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5">
        <f>SUM(B23:K23)</f>
        <v/>
      </c>
      <c r="M23" s="8" t="n"/>
    </row>
    <row r="24">
      <c r="A24" s="5" t="n">
        <v>19</v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5">
        <f>SUM(B24:K24)</f>
        <v/>
      </c>
      <c r="M24" s="8" t="n"/>
    </row>
    <row r="25">
      <c r="A25" s="5" t="n">
        <v>20</v>
      </c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5">
        <f>SUM(B25:K25)</f>
        <v/>
      </c>
      <c r="M25" s="8" t="n"/>
    </row>
    <row r="26">
      <c r="A26" s="5" t="n">
        <v>21</v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5">
        <f>SUM(B26:K26)</f>
        <v/>
      </c>
      <c r="M26" s="8" t="n"/>
    </row>
    <row r="27">
      <c r="A27" s="5" t="n">
        <v>22</v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5">
        <f>SUM(B27:K27)</f>
        <v/>
      </c>
      <c r="M27" s="8" t="n"/>
    </row>
    <row r="28">
      <c r="A28" s="5" t="n">
        <v>23</v>
      </c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5">
        <f>SUM(B28:K28)</f>
        <v/>
      </c>
      <c r="M28" s="8" t="n"/>
    </row>
    <row r="29">
      <c r="A29" s="5" t="n">
        <v>24</v>
      </c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5">
        <f>SUM(B29:K29)</f>
        <v/>
      </c>
      <c r="M29" s="8" t="n"/>
    </row>
    <row r="30">
      <c r="A30" s="5" t="n">
        <v>25</v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5">
        <f>SUM(B30:K30)</f>
        <v/>
      </c>
      <c r="M30" s="8" t="n"/>
    </row>
    <row r="31">
      <c r="A31" s="5" t="n">
        <v>26</v>
      </c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5">
        <f>SUM(B31:K31)</f>
        <v/>
      </c>
      <c r="M31" s="8" t="n"/>
    </row>
    <row r="32">
      <c r="A32" s="5" t="n">
        <v>27</v>
      </c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5">
        <f>SUM(B32:K32)</f>
        <v/>
      </c>
      <c r="M32" s="8" t="n"/>
    </row>
    <row r="33">
      <c r="A33" s="5" t="n">
        <v>28</v>
      </c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5">
        <f>SUM(B33:K33)</f>
        <v/>
      </c>
      <c r="M33" s="8" t="n"/>
    </row>
    <row r="34">
      <c r="A34" s="5" t="n">
        <v>29</v>
      </c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5">
        <f>SUM(B34:K34)</f>
        <v/>
      </c>
      <c r="M34" s="8" t="n"/>
    </row>
    <row r="35">
      <c r="A35" s="5" t="n">
        <v>30</v>
      </c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5">
        <f>SUM(B35:K35)</f>
        <v/>
      </c>
      <c r="M35" s="8" t="n"/>
    </row>
    <row r="36">
      <c r="A36" s="5" t="n">
        <v>31</v>
      </c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5">
        <f>SUM(B36:K36)</f>
        <v/>
      </c>
      <c r="M36" s="8" t="n"/>
    </row>
    <row r="37">
      <c r="A37" s="5" t="n">
        <v>32</v>
      </c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5">
        <f>SUM(B37:K37)</f>
        <v/>
      </c>
      <c r="M37" s="8" t="n"/>
    </row>
    <row r="38">
      <c r="A38" s="5" t="n">
        <v>33</v>
      </c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5">
        <f>SUM(B38:K38)</f>
        <v/>
      </c>
      <c r="M38" s="8" t="n"/>
    </row>
    <row r="39">
      <c r="A39" s="5" t="n">
        <v>34</v>
      </c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5">
        <f>SUM(B39:K39)</f>
        <v/>
      </c>
      <c r="M39" s="8" t="n"/>
    </row>
    <row r="40">
      <c r="A40" s="5" t="n">
        <v>35</v>
      </c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5">
        <f>SUM(B40:K40)</f>
        <v/>
      </c>
      <c r="M40" s="8" t="n"/>
    </row>
    <row r="41">
      <c r="A41" s="5" t="n">
        <v>36</v>
      </c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5">
        <f>SUM(B41:K41)</f>
        <v/>
      </c>
      <c r="M41" s="8" t="n"/>
    </row>
    <row r="42">
      <c r="A42" s="5" t="n">
        <v>37</v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5">
        <f>SUM(B42:K42)</f>
        <v/>
      </c>
      <c r="M42" s="8" t="n"/>
    </row>
    <row r="43">
      <c r="A43" s="5" t="n">
        <v>38</v>
      </c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5">
        <f>SUM(B43:K43)</f>
        <v/>
      </c>
      <c r="M43" s="8" t="n"/>
    </row>
    <row r="45">
      <c r="A45" s="2" t="inlineStr">
        <is>
          <t>Rule reminder</t>
        </is>
      </c>
      <c r="B45" s="2" t="inlineStr">
        <is>
          <t>2026/27 has two sets of Wildcard, Free Hit, Triple Captain and Bench Boost; the first set must be used before the GW19 deadline. Only one chip can be used in a Gameweek.</t>
        </is>
      </c>
    </row>
  </sheetData>
  <mergeCells count="3">
    <mergeCell ref="A3:M3"/>
    <mergeCell ref="B45:M45"/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5" customWidth="1" min="4" max="4"/>
    <col width="19" customWidth="1" min="5" max="5"/>
    <col width="16" customWidth="1" min="6" max="6"/>
    <col width="35" customWidth="1" min="7" max="7"/>
    <col width="19" customWidth="1" min="8" max="8"/>
    <col width="10" customWidth="1" min="9" max="9"/>
    <col width="26" customWidth="1" min="10" max="10"/>
  </cols>
  <sheetData>
    <row r="1">
      <c r="A1" s="27" t="inlineStr">
        <is>
          <t>Weekly Review &amp; Model Calibration</t>
        </is>
      </c>
    </row>
    <row r="5">
      <c r="A5" s="19" t="inlineStr">
        <is>
          <t>GW</t>
        </is>
      </c>
      <c r="B5" s="19" t="inlineStr">
        <is>
          <t>Projected points</t>
        </is>
      </c>
      <c r="C5" s="19" t="inlineStr">
        <is>
          <t>Actual points</t>
        </is>
      </c>
      <c r="D5" s="19" t="inlineStr">
        <is>
          <t>Variance</t>
        </is>
      </c>
      <c r="E5" s="19" t="inlineStr">
        <is>
          <t>Captain projected</t>
        </is>
      </c>
      <c r="F5" s="19" t="inlineStr">
        <is>
          <t>Captain actual</t>
        </is>
      </c>
      <c r="G5" s="19" t="inlineStr">
        <is>
          <t>Captain variance</t>
        </is>
      </c>
      <c r="H5" s="19" t="inlineStr">
        <is>
          <t>Transfer EV taken</t>
        </is>
      </c>
      <c r="I5" s="19" t="inlineStr">
        <is>
          <t>Rank</t>
        </is>
      </c>
      <c r="J5" s="19" t="inlineStr">
        <is>
          <t>What did the model miss?</t>
        </is>
      </c>
    </row>
    <row r="6">
      <c r="A6" s="5" t="n">
        <v>1</v>
      </c>
      <c r="B6" s="26" t="n"/>
      <c r="C6" s="26" t="n"/>
      <c r="D6" s="5">
        <f>IF(OR(B6="",C6=""),"",C6-B6)</f>
        <v/>
      </c>
      <c r="E6" s="26" t="n"/>
      <c r="F6" s="26" t="n"/>
      <c r="G6" s="5">
        <f>IF(OR(E6="",F6=""),"",F6-E6)</f>
        <v/>
      </c>
      <c r="H6" s="26" t="n"/>
      <c r="I6" s="8" t="n"/>
      <c r="J6" s="26" t="n"/>
    </row>
    <row r="7">
      <c r="A7" s="5" t="n">
        <v>2</v>
      </c>
      <c r="B7" s="26" t="n"/>
      <c r="C7" s="26" t="n"/>
      <c r="D7" s="5">
        <f>IF(OR(B7="",C7=""),"",C7-B7)</f>
        <v/>
      </c>
      <c r="E7" s="26" t="n"/>
      <c r="F7" s="26" t="n"/>
      <c r="G7" s="5">
        <f>IF(OR(E7="",F7=""),"",F7-E7)</f>
        <v/>
      </c>
      <c r="H7" s="26" t="n"/>
      <c r="I7" s="8" t="n"/>
      <c r="J7" s="26" t="n"/>
    </row>
    <row r="8">
      <c r="A8" s="5" t="n">
        <v>3</v>
      </c>
      <c r="B8" s="26" t="n"/>
      <c r="C8" s="26" t="n"/>
      <c r="D8" s="5">
        <f>IF(OR(B8="",C8=""),"",C8-B8)</f>
        <v/>
      </c>
      <c r="E8" s="26" t="n"/>
      <c r="F8" s="26" t="n"/>
      <c r="G8" s="5">
        <f>IF(OR(E8="",F8=""),"",F8-E8)</f>
        <v/>
      </c>
      <c r="H8" s="26" t="n"/>
      <c r="I8" s="8" t="n"/>
      <c r="J8" s="26" t="n"/>
    </row>
    <row r="9">
      <c r="A9" s="5" t="n">
        <v>4</v>
      </c>
      <c r="B9" s="26" t="n"/>
      <c r="C9" s="26" t="n"/>
      <c r="D9" s="5">
        <f>IF(OR(B9="",C9=""),"",C9-B9)</f>
        <v/>
      </c>
      <c r="E9" s="26" t="n"/>
      <c r="F9" s="26" t="n"/>
      <c r="G9" s="5">
        <f>IF(OR(E9="",F9=""),"",F9-E9)</f>
        <v/>
      </c>
      <c r="H9" s="26" t="n"/>
      <c r="I9" s="8" t="n"/>
      <c r="J9" s="26" t="n"/>
    </row>
    <row r="10">
      <c r="A10" s="5" t="n">
        <v>5</v>
      </c>
      <c r="B10" s="26" t="n"/>
      <c r="C10" s="26" t="n"/>
      <c r="D10" s="5">
        <f>IF(OR(B10="",C10=""),"",C10-B10)</f>
        <v/>
      </c>
      <c r="E10" s="26" t="n"/>
      <c r="F10" s="26" t="n"/>
      <c r="G10" s="5">
        <f>IF(OR(E10="",F10=""),"",F10-E10)</f>
        <v/>
      </c>
      <c r="H10" s="26" t="n"/>
      <c r="I10" s="8" t="n"/>
      <c r="J10" s="26" t="n"/>
    </row>
    <row r="11">
      <c r="A11" s="5" t="n">
        <v>6</v>
      </c>
      <c r="B11" s="26" t="n"/>
      <c r="C11" s="26" t="n"/>
      <c r="D11" s="5">
        <f>IF(OR(B11="",C11=""),"",C11-B11)</f>
        <v/>
      </c>
      <c r="E11" s="26" t="n"/>
      <c r="F11" s="26" t="n"/>
      <c r="G11" s="5">
        <f>IF(OR(E11="",F11=""),"",F11-E11)</f>
        <v/>
      </c>
      <c r="H11" s="26" t="n"/>
      <c r="I11" s="8" t="n"/>
      <c r="J11" s="26" t="n"/>
    </row>
    <row r="12">
      <c r="A12" s="5" t="n">
        <v>7</v>
      </c>
      <c r="B12" s="26" t="n"/>
      <c r="C12" s="26" t="n"/>
      <c r="D12" s="5">
        <f>IF(OR(B12="",C12=""),"",C12-B12)</f>
        <v/>
      </c>
      <c r="E12" s="26" t="n"/>
      <c r="F12" s="26" t="n"/>
      <c r="G12" s="5">
        <f>IF(OR(E12="",F12=""),"",F12-E12)</f>
        <v/>
      </c>
      <c r="H12" s="26" t="n"/>
      <c r="I12" s="8" t="n"/>
      <c r="J12" s="26" t="n"/>
    </row>
    <row r="13">
      <c r="A13" s="5" t="n">
        <v>8</v>
      </c>
      <c r="B13" s="26" t="n"/>
      <c r="C13" s="26" t="n"/>
      <c r="D13" s="5">
        <f>IF(OR(B13="",C13=""),"",C13-B13)</f>
        <v/>
      </c>
      <c r="E13" s="26" t="n"/>
      <c r="F13" s="26" t="n"/>
      <c r="G13" s="5">
        <f>IF(OR(E13="",F13=""),"",F13-E13)</f>
        <v/>
      </c>
      <c r="H13" s="26" t="n"/>
      <c r="I13" s="8" t="n"/>
      <c r="J13" s="26" t="n"/>
    </row>
    <row r="14">
      <c r="A14" s="5" t="n">
        <v>9</v>
      </c>
      <c r="B14" s="26" t="n"/>
      <c r="C14" s="26" t="n"/>
      <c r="D14" s="5">
        <f>IF(OR(B14="",C14=""),"",C14-B14)</f>
        <v/>
      </c>
      <c r="E14" s="26" t="n"/>
      <c r="F14" s="26" t="n"/>
      <c r="G14" s="5">
        <f>IF(OR(E14="",F14=""),"",F14-E14)</f>
        <v/>
      </c>
      <c r="H14" s="26" t="n"/>
      <c r="I14" s="8" t="n"/>
      <c r="J14" s="26" t="n"/>
    </row>
    <row r="15">
      <c r="A15" s="5" t="n">
        <v>10</v>
      </c>
      <c r="B15" s="26" t="n"/>
      <c r="C15" s="26" t="n"/>
      <c r="D15" s="5">
        <f>IF(OR(B15="",C15=""),"",C15-B15)</f>
        <v/>
      </c>
      <c r="E15" s="26" t="n"/>
      <c r="F15" s="26" t="n"/>
      <c r="G15" s="5">
        <f>IF(OR(E15="",F15=""),"",F15-E15)</f>
        <v/>
      </c>
      <c r="H15" s="26" t="n"/>
      <c r="I15" s="8" t="n"/>
      <c r="J15" s="26" t="n"/>
    </row>
    <row r="16">
      <c r="A16" s="5" t="n">
        <v>11</v>
      </c>
      <c r="B16" s="26" t="n"/>
      <c r="C16" s="26" t="n"/>
      <c r="D16" s="5">
        <f>IF(OR(B16="",C16=""),"",C16-B16)</f>
        <v/>
      </c>
      <c r="E16" s="26" t="n"/>
      <c r="F16" s="26" t="n"/>
      <c r="G16" s="5">
        <f>IF(OR(E16="",F16=""),"",F16-E16)</f>
        <v/>
      </c>
      <c r="H16" s="26" t="n"/>
      <c r="I16" s="8" t="n"/>
      <c r="J16" s="26" t="n"/>
    </row>
    <row r="17">
      <c r="A17" s="5" t="n">
        <v>12</v>
      </c>
      <c r="B17" s="26" t="n"/>
      <c r="C17" s="26" t="n"/>
      <c r="D17" s="5">
        <f>IF(OR(B17="",C17=""),"",C17-B17)</f>
        <v/>
      </c>
      <c r="E17" s="26" t="n"/>
      <c r="F17" s="26" t="n"/>
      <c r="G17" s="5">
        <f>IF(OR(E17="",F17=""),"",F17-E17)</f>
        <v/>
      </c>
      <c r="H17" s="26" t="n"/>
      <c r="I17" s="8" t="n"/>
      <c r="J17" s="26" t="n"/>
    </row>
    <row r="18">
      <c r="A18" s="5" t="n">
        <v>13</v>
      </c>
      <c r="B18" s="26" t="n"/>
      <c r="C18" s="26" t="n"/>
      <c r="D18" s="5">
        <f>IF(OR(B18="",C18=""),"",C18-B18)</f>
        <v/>
      </c>
      <c r="E18" s="26" t="n"/>
      <c r="F18" s="26" t="n"/>
      <c r="G18" s="5">
        <f>IF(OR(E18="",F18=""),"",F18-E18)</f>
        <v/>
      </c>
      <c r="H18" s="26" t="n"/>
      <c r="I18" s="8" t="n"/>
      <c r="J18" s="26" t="n"/>
    </row>
    <row r="19">
      <c r="A19" s="5" t="n">
        <v>14</v>
      </c>
      <c r="B19" s="26" t="n"/>
      <c r="C19" s="26" t="n"/>
      <c r="D19" s="5">
        <f>IF(OR(B19="",C19=""),"",C19-B19)</f>
        <v/>
      </c>
      <c r="E19" s="26" t="n"/>
      <c r="F19" s="26" t="n"/>
      <c r="G19" s="5">
        <f>IF(OR(E19="",F19=""),"",F19-E19)</f>
        <v/>
      </c>
      <c r="H19" s="26" t="n"/>
      <c r="I19" s="8" t="n"/>
      <c r="J19" s="26" t="n"/>
    </row>
    <row r="20">
      <c r="A20" s="5" t="n">
        <v>15</v>
      </c>
      <c r="B20" s="26" t="n"/>
      <c r="C20" s="26" t="n"/>
      <c r="D20" s="5">
        <f>IF(OR(B20="",C20=""),"",C20-B20)</f>
        <v/>
      </c>
      <c r="E20" s="26" t="n"/>
      <c r="F20" s="26" t="n"/>
      <c r="G20" s="5">
        <f>IF(OR(E20="",F20=""),"",F20-E20)</f>
        <v/>
      </c>
      <c r="H20" s="26" t="n"/>
      <c r="I20" s="8" t="n"/>
      <c r="J20" s="26" t="n"/>
    </row>
    <row r="21">
      <c r="A21" s="5" t="n">
        <v>16</v>
      </c>
      <c r="B21" s="26" t="n"/>
      <c r="C21" s="26" t="n"/>
      <c r="D21" s="5">
        <f>IF(OR(B21="",C21=""),"",C21-B21)</f>
        <v/>
      </c>
      <c r="E21" s="26" t="n"/>
      <c r="F21" s="26" t="n"/>
      <c r="G21" s="5">
        <f>IF(OR(E21="",F21=""),"",F21-E21)</f>
        <v/>
      </c>
      <c r="H21" s="26" t="n"/>
      <c r="I21" s="8" t="n"/>
      <c r="J21" s="26" t="n"/>
    </row>
    <row r="22">
      <c r="A22" s="5" t="n">
        <v>17</v>
      </c>
      <c r="B22" s="26" t="n"/>
      <c r="C22" s="26" t="n"/>
      <c r="D22" s="5">
        <f>IF(OR(B22="",C22=""),"",C22-B22)</f>
        <v/>
      </c>
      <c r="E22" s="26" t="n"/>
      <c r="F22" s="26" t="n"/>
      <c r="G22" s="5">
        <f>IF(OR(E22="",F22=""),"",F22-E22)</f>
        <v/>
      </c>
      <c r="H22" s="26" t="n"/>
      <c r="I22" s="8" t="n"/>
      <c r="J22" s="26" t="n"/>
    </row>
    <row r="23">
      <c r="A23" s="5" t="n">
        <v>18</v>
      </c>
      <c r="B23" s="26" t="n"/>
      <c r="C23" s="26" t="n"/>
      <c r="D23" s="5">
        <f>IF(OR(B23="",C23=""),"",C23-B23)</f>
        <v/>
      </c>
      <c r="E23" s="26" t="n"/>
      <c r="F23" s="26" t="n"/>
      <c r="G23" s="5">
        <f>IF(OR(E23="",F23=""),"",F23-E23)</f>
        <v/>
      </c>
      <c r="H23" s="26" t="n"/>
      <c r="I23" s="8" t="n"/>
      <c r="J23" s="26" t="n"/>
    </row>
    <row r="24">
      <c r="A24" s="5" t="n">
        <v>19</v>
      </c>
      <c r="B24" s="26" t="n"/>
      <c r="C24" s="26" t="n"/>
      <c r="D24" s="5">
        <f>IF(OR(B24="",C24=""),"",C24-B24)</f>
        <v/>
      </c>
      <c r="E24" s="26" t="n"/>
      <c r="F24" s="26" t="n"/>
      <c r="G24" s="5">
        <f>IF(OR(E24="",F24=""),"",F24-E24)</f>
        <v/>
      </c>
      <c r="H24" s="26" t="n"/>
      <c r="I24" s="8" t="n"/>
      <c r="J24" s="26" t="n"/>
    </row>
    <row r="25">
      <c r="A25" s="5" t="n">
        <v>20</v>
      </c>
      <c r="B25" s="26" t="n"/>
      <c r="C25" s="26" t="n"/>
      <c r="D25" s="5">
        <f>IF(OR(B25="",C25=""),"",C25-B25)</f>
        <v/>
      </c>
      <c r="E25" s="26" t="n"/>
      <c r="F25" s="26" t="n"/>
      <c r="G25" s="5">
        <f>IF(OR(E25="",F25=""),"",F25-E25)</f>
        <v/>
      </c>
      <c r="H25" s="26" t="n"/>
      <c r="I25" s="8" t="n"/>
      <c r="J25" s="26" t="n"/>
    </row>
    <row r="26">
      <c r="A26" s="5" t="n">
        <v>21</v>
      </c>
      <c r="B26" s="26" t="n"/>
      <c r="C26" s="26" t="n"/>
      <c r="D26" s="5">
        <f>IF(OR(B26="",C26=""),"",C26-B26)</f>
        <v/>
      </c>
      <c r="E26" s="26" t="n"/>
      <c r="F26" s="26" t="n"/>
      <c r="G26" s="5">
        <f>IF(OR(E26="",F26=""),"",F26-E26)</f>
        <v/>
      </c>
      <c r="H26" s="26" t="n"/>
      <c r="I26" s="8" t="n"/>
      <c r="J26" s="26" t="n"/>
    </row>
    <row r="27">
      <c r="A27" s="5" t="n">
        <v>22</v>
      </c>
      <c r="B27" s="26" t="n"/>
      <c r="C27" s="26" t="n"/>
      <c r="D27" s="5">
        <f>IF(OR(B27="",C27=""),"",C27-B27)</f>
        <v/>
      </c>
      <c r="E27" s="26" t="n"/>
      <c r="F27" s="26" t="n"/>
      <c r="G27" s="5">
        <f>IF(OR(E27="",F27=""),"",F27-E27)</f>
        <v/>
      </c>
      <c r="H27" s="26" t="n"/>
      <c r="I27" s="8" t="n"/>
      <c r="J27" s="26" t="n"/>
    </row>
    <row r="28">
      <c r="A28" s="5" t="n">
        <v>23</v>
      </c>
      <c r="B28" s="26" t="n"/>
      <c r="C28" s="26" t="n"/>
      <c r="D28" s="5">
        <f>IF(OR(B28="",C28=""),"",C28-B28)</f>
        <v/>
      </c>
      <c r="E28" s="26" t="n"/>
      <c r="F28" s="26" t="n"/>
      <c r="G28" s="5">
        <f>IF(OR(E28="",F28=""),"",F28-E28)</f>
        <v/>
      </c>
      <c r="H28" s="26" t="n"/>
      <c r="I28" s="8" t="n"/>
      <c r="J28" s="26" t="n"/>
    </row>
    <row r="29">
      <c r="A29" s="5" t="n">
        <v>24</v>
      </c>
      <c r="B29" s="26" t="n"/>
      <c r="C29" s="26" t="n"/>
      <c r="D29" s="5">
        <f>IF(OR(B29="",C29=""),"",C29-B29)</f>
        <v/>
      </c>
      <c r="E29" s="26" t="n"/>
      <c r="F29" s="26" t="n"/>
      <c r="G29" s="5">
        <f>IF(OR(E29="",F29=""),"",F29-E29)</f>
        <v/>
      </c>
      <c r="H29" s="26" t="n"/>
      <c r="I29" s="8" t="n"/>
      <c r="J29" s="26" t="n"/>
    </row>
    <row r="30">
      <c r="A30" s="5" t="n">
        <v>25</v>
      </c>
      <c r="B30" s="26" t="n"/>
      <c r="C30" s="26" t="n"/>
      <c r="D30" s="5">
        <f>IF(OR(B30="",C30=""),"",C30-B30)</f>
        <v/>
      </c>
      <c r="E30" s="26" t="n"/>
      <c r="F30" s="26" t="n"/>
      <c r="G30" s="5">
        <f>IF(OR(E30="",F30=""),"",F30-E30)</f>
        <v/>
      </c>
      <c r="H30" s="26" t="n"/>
      <c r="I30" s="8" t="n"/>
      <c r="J30" s="26" t="n"/>
    </row>
    <row r="31">
      <c r="A31" s="5" t="n">
        <v>26</v>
      </c>
      <c r="B31" s="26" t="n"/>
      <c r="C31" s="26" t="n"/>
      <c r="D31" s="5">
        <f>IF(OR(B31="",C31=""),"",C31-B31)</f>
        <v/>
      </c>
      <c r="E31" s="26" t="n"/>
      <c r="F31" s="26" t="n"/>
      <c r="G31" s="5">
        <f>IF(OR(E31="",F31=""),"",F31-E31)</f>
        <v/>
      </c>
      <c r="H31" s="26" t="n"/>
      <c r="I31" s="8" t="n"/>
      <c r="J31" s="26" t="n"/>
    </row>
    <row r="32">
      <c r="A32" s="5" t="n">
        <v>27</v>
      </c>
      <c r="B32" s="26" t="n"/>
      <c r="C32" s="26" t="n"/>
      <c r="D32" s="5">
        <f>IF(OR(B32="",C32=""),"",C32-B32)</f>
        <v/>
      </c>
      <c r="E32" s="26" t="n"/>
      <c r="F32" s="26" t="n"/>
      <c r="G32" s="5">
        <f>IF(OR(E32="",F32=""),"",F32-E32)</f>
        <v/>
      </c>
      <c r="H32" s="26" t="n"/>
      <c r="I32" s="8" t="n"/>
      <c r="J32" s="26" t="n"/>
    </row>
    <row r="33">
      <c r="A33" s="5" t="n">
        <v>28</v>
      </c>
      <c r="B33" s="26" t="n"/>
      <c r="C33" s="26" t="n"/>
      <c r="D33" s="5">
        <f>IF(OR(B33="",C33=""),"",C33-B33)</f>
        <v/>
      </c>
      <c r="E33" s="26" t="n"/>
      <c r="F33" s="26" t="n"/>
      <c r="G33" s="5">
        <f>IF(OR(E33="",F33=""),"",F33-E33)</f>
        <v/>
      </c>
      <c r="H33" s="26" t="n"/>
      <c r="I33" s="8" t="n"/>
      <c r="J33" s="26" t="n"/>
    </row>
    <row r="34">
      <c r="A34" s="5" t="n">
        <v>29</v>
      </c>
      <c r="B34" s="26" t="n"/>
      <c r="C34" s="26" t="n"/>
      <c r="D34" s="5">
        <f>IF(OR(B34="",C34=""),"",C34-B34)</f>
        <v/>
      </c>
      <c r="E34" s="26" t="n"/>
      <c r="F34" s="26" t="n"/>
      <c r="G34" s="5">
        <f>IF(OR(E34="",F34=""),"",F34-E34)</f>
        <v/>
      </c>
      <c r="H34" s="26" t="n"/>
      <c r="I34" s="8" t="n"/>
      <c r="J34" s="26" t="n"/>
    </row>
    <row r="35">
      <c r="A35" s="5" t="n">
        <v>30</v>
      </c>
      <c r="B35" s="26" t="n"/>
      <c r="C35" s="26" t="n"/>
      <c r="D35" s="5">
        <f>IF(OR(B35="",C35=""),"",C35-B35)</f>
        <v/>
      </c>
      <c r="E35" s="26" t="n"/>
      <c r="F35" s="26" t="n"/>
      <c r="G35" s="5">
        <f>IF(OR(E35="",F35=""),"",F35-E35)</f>
        <v/>
      </c>
      <c r="H35" s="26" t="n"/>
      <c r="I35" s="8" t="n"/>
      <c r="J35" s="26" t="n"/>
    </row>
    <row r="36">
      <c r="A36" s="5" t="n">
        <v>31</v>
      </c>
      <c r="B36" s="26" t="n"/>
      <c r="C36" s="26" t="n"/>
      <c r="D36" s="5">
        <f>IF(OR(B36="",C36=""),"",C36-B36)</f>
        <v/>
      </c>
      <c r="E36" s="26" t="n"/>
      <c r="F36" s="26" t="n"/>
      <c r="G36" s="5">
        <f>IF(OR(E36="",F36=""),"",F36-E36)</f>
        <v/>
      </c>
      <c r="H36" s="26" t="n"/>
      <c r="I36" s="8" t="n"/>
      <c r="J36" s="26" t="n"/>
    </row>
    <row r="37">
      <c r="A37" s="5" t="n">
        <v>32</v>
      </c>
      <c r="B37" s="26" t="n"/>
      <c r="C37" s="26" t="n"/>
      <c r="D37" s="5">
        <f>IF(OR(B37="",C37=""),"",C37-B37)</f>
        <v/>
      </c>
      <c r="E37" s="26" t="n"/>
      <c r="F37" s="26" t="n"/>
      <c r="G37" s="5">
        <f>IF(OR(E37="",F37=""),"",F37-E37)</f>
        <v/>
      </c>
      <c r="H37" s="26" t="n"/>
      <c r="I37" s="8" t="n"/>
      <c r="J37" s="26" t="n"/>
    </row>
    <row r="38">
      <c r="A38" s="5" t="n">
        <v>33</v>
      </c>
      <c r="B38" s="26" t="n"/>
      <c r="C38" s="26" t="n"/>
      <c r="D38" s="5">
        <f>IF(OR(B38="",C38=""),"",C38-B38)</f>
        <v/>
      </c>
      <c r="E38" s="26" t="n"/>
      <c r="F38" s="26" t="n"/>
      <c r="G38" s="5">
        <f>IF(OR(E38="",F38=""),"",F38-E38)</f>
        <v/>
      </c>
      <c r="H38" s="26" t="n"/>
      <c r="I38" s="8" t="n"/>
      <c r="J38" s="26" t="n"/>
    </row>
    <row r="39">
      <c r="A39" s="5" t="n">
        <v>34</v>
      </c>
      <c r="B39" s="26" t="n"/>
      <c r="C39" s="26" t="n"/>
      <c r="D39" s="5">
        <f>IF(OR(B39="",C39=""),"",C39-B39)</f>
        <v/>
      </c>
      <c r="E39" s="26" t="n"/>
      <c r="F39" s="26" t="n"/>
      <c r="G39" s="5">
        <f>IF(OR(E39="",F39=""),"",F39-E39)</f>
        <v/>
      </c>
      <c r="H39" s="26" t="n"/>
      <c r="I39" s="8" t="n"/>
      <c r="J39" s="26" t="n"/>
    </row>
    <row r="40">
      <c r="A40" s="5" t="n">
        <v>35</v>
      </c>
      <c r="B40" s="26" t="n"/>
      <c r="C40" s="26" t="n"/>
      <c r="D40" s="5">
        <f>IF(OR(B40="",C40=""),"",C40-B40)</f>
        <v/>
      </c>
      <c r="E40" s="26" t="n"/>
      <c r="F40" s="26" t="n"/>
      <c r="G40" s="5">
        <f>IF(OR(E40="",F40=""),"",F40-E40)</f>
        <v/>
      </c>
      <c r="H40" s="26" t="n"/>
      <c r="I40" s="8" t="n"/>
      <c r="J40" s="26" t="n"/>
    </row>
    <row r="41">
      <c r="A41" s="5" t="n">
        <v>36</v>
      </c>
      <c r="B41" s="26" t="n"/>
      <c r="C41" s="26" t="n"/>
      <c r="D41" s="5">
        <f>IF(OR(B41="",C41=""),"",C41-B41)</f>
        <v/>
      </c>
      <c r="E41" s="26" t="n"/>
      <c r="F41" s="26" t="n"/>
      <c r="G41" s="5">
        <f>IF(OR(E41="",F41=""),"",F41-E41)</f>
        <v/>
      </c>
      <c r="H41" s="26" t="n"/>
      <c r="I41" s="8" t="n"/>
      <c r="J41" s="26" t="n"/>
    </row>
    <row r="42">
      <c r="A42" s="5" t="n">
        <v>37</v>
      </c>
      <c r="B42" s="26" t="n"/>
      <c r="C42" s="26" t="n"/>
      <c r="D42" s="5">
        <f>IF(OR(B42="",C42=""),"",C42-B42)</f>
        <v/>
      </c>
      <c r="E42" s="26" t="n"/>
      <c r="F42" s="26" t="n"/>
      <c r="G42" s="5">
        <f>IF(OR(E42="",F42=""),"",F42-E42)</f>
        <v/>
      </c>
      <c r="H42" s="26" t="n"/>
      <c r="I42" s="8" t="n"/>
      <c r="J42" s="26" t="n"/>
    </row>
    <row r="43">
      <c r="A43" s="5" t="n">
        <v>38</v>
      </c>
      <c r="B43" s="26" t="n"/>
      <c r="C43" s="26" t="n"/>
      <c r="D43" s="5">
        <f>IF(OR(B43="",C43=""),"",C43-B43)</f>
        <v/>
      </c>
      <c r="E43" s="26" t="n"/>
      <c r="F43" s="26" t="n"/>
      <c r="G43" s="5">
        <f>IF(OR(E43="",F43=""),"",F43-E43)</f>
        <v/>
      </c>
      <c r="H43" s="26" t="n"/>
      <c r="I43" s="8" t="n"/>
      <c r="J43" s="26" t="n"/>
    </row>
  </sheetData>
  <mergeCells count="1">
    <mergeCell ref="A1:J1"/>
  </mergeCells>
  <conditionalFormatting sqref="D6:D43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5" t="inlineStr">
        <is>
          <t>Layer</t>
        </is>
      </c>
      <c r="B1" s="25" t="inlineStr">
        <is>
          <t>Status</t>
        </is>
      </c>
      <c r="C1" s="25" t="inlineStr">
        <is>
          <t>Purpose</t>
        </is>
      </c>
    </row>
    <row r="2">
      <c r="A2" t="inlineStr">
        <is>
          <t>Official FPL data</t>
        </is>
      </c>
      <c r="B2" t="inlineStr">
        <is>
          <t>Automated</t>
        </is>
      </c>
      <c r="C2" t="inlineStr">
        <is>
          <t>Players, prices, ownership, form, xG/xA/xGI, availability, fixtures, FDR, Gameweeks and live/history data.</t>
        </is>
      </c>
    </row>
    <row r="3">
      <c r="A3" t="inlineStr">
        <is>
          <t>Historical data</t>
        </is>
      </c>
      <c r="B3" t="inlineStr">
        <is>
          <t>Automated</t>
        </is>
      </c>
      <c r="C3" t="inlineStr">
        <is>
          <t>Keep prior refreshes so model accuracy can be measured and weights recalibrated.</t>
        </is>
      </c>
    </row>
    <row r="4">
      <c r="A4" t="inlineStr">
        <is>
          <t>Minutes/team news</t>
        </is>
      </c>
      <c r="B4" t="inlineStr">
        <is>
          <t>Manual</t>
        </is>
      </c>
      <c r="C4" t="inlineStr">
        <is>
          <t>Projected minutes, start probability, rotation, injuries, tactical changes and set-piece responsibility.</t>
        </is>
      </c>
    </row>
    <row r="5">
      <c r="A5" t="inlineStr">
        <is>
          <t>8-GW projection</t>
        </is>
      </c>
      <c r="B5" t="inlineStr">
        <is>
          <t>Formula</t>
        </is>
      </c>
      <c r="C5" t="inlineStr">
        <is>
          <t>Expected points by Gameweek using minutes, attacking involvement, defensive contribution, fixture adjustment and horizon decay.</t>
        </is>
      </c>
    </row>
    <row r="6">
      <c r="A6" t="inlineStr">
        <is>
          <t>Transfer EV</t>
        </is>
      </c>
      <c r="B6" t="inlineStr">
        <is>
          <t>Formula</t>
        </is>
      </c>
      <c r="C6" t="inlineStr">
        <is>
          <t>6-GW and 8-GW expected gain from IN vs OUT after transfer-hit cost.</t>
        </is>
      </c>
    </row>
    <row r="7">
      <c r="A7" t="inlineStr">
        <is>
          <t>Captaincy</t>
        </is>
      </c>
      <c r="B7" t="inlineStr">
        <is>
          <t>Formula</t>
        </is>
      </c>
      <c r="C7" t="inlineStr">
        <is>
          <t>Relative captain score/probability using expected output, attacking ceiling and availability.</t>
        </is>
      </c>
    </row>
    <row r="8">
      <c r="A8" t="inlineStr">
        <is>
          <t>XI optimiser</t>
        </is>
      </c>
      <c r="B8" t="inlineStr">
        <is>
          <t>Formula</t>
        </is>
      </c>
      <c r="C8" t="inlineStr">
        <is>
          <t>Ranks legal formation options and selects the strongest expected XI from the user's squad.</t>
        </is>
      </c>
    </row>
    <row r="9">
      <c r="A9" t="inlineStr">
        <is>
          <t>Chip planner</t>
        </is>
      </c>
      <c r="B9" t="inlineStr">
        <is>
          <t>Formula + review</t>
        </is>
      </c>
      <c r="C9" t="inlineStr">
        <is>
          <t>Scores blank/double weeks, fixture swings, squad coverage, captain upside and bench upside.</t>
        </is>
      </c>
    </row>
    <row r="10">
      <c r="A10" t="inlineStr">
        <is>
          <t>Calibration</t>
        </is>
      </c>
      <c r="B10" t="inlineStr">
        <is>
          <t>Formula + review</t>
        </is>
      </c>
      <c r="C10" t="inlineStr">
        <is>
          <t>Actual minus projected points, allowing repeated model errors to be identified.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2026-09-05T10:07:13Z</dcterms:created>
  <dcterms:modified xmlns:dcterms="http://purl.org/dc/terms/" xmlns:xsi="http://www.w3.org/2001/XMLSchema-instance" xsi:type="dcterms:W3CDTF">2026-09-05T14:17:44Z</dcterms:modified>
</cp:coreProperties>
</file>